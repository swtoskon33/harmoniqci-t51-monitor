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ool map" sheetId="1" state="visible" r:id="rId1"/>
    <sheet name="Criteria" sheetId="2" state="visible" r:id="rId2"/>
    <sheet name="Scoring" sheetId="3" state="visible" r:id="rId3"/>
    <sheet name="Candidates" sheetId="4" state="visible" r:id="rId4"/>
    <sheet name="Changes" sheetId="5" state="visible" r:id="rId5"/>
  </sheets>
  <definedNames>
    <definedName name="_xlnm._FilterDatabase" localSheetId="0" hidden="1">'Tool map'!$A$1:$R$16</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color rgb="FF0563C1"/>
      <sz val="10"/>
      <u val="single"/>
    </font>
    <font>
      <name val="Arial"/>
      <charset val="1"/>
      <family val="0"/>
      <i val="1"/>
      <sz val="9"/>
    </font>
    <font>
      <name val="Arial"/>
      <charset val="1"/>
      <family val="0"/>
      <color rgb="FF0000FF"/>
      <sz val="10"/>
    </font>
    <font>
      <name val="Arial"/>
      <charset val="1"/>
      <family val="0"/>
      <b val="1"/>
      <sz val="10"/>
    </font>
    <font>
      <b val="1"/>
    </font>
  </fonts>
  <fills count="9">
    <fill>
      <patternFill/>
    </fill>
    <fill>
      <patternFill patternType="gray125"/>
    </fill>
    <fill>
      <patternFill patternType="solid">
        <fgColor rgb="FF1F3864"/>
        <bgColor rgb="FF333333"/>
      </patternFill>
    </fill>
    <fill>
      <patternFill patternType="solid">
        <fgColor rgb="FFDDEBF7"/>
        <bgColor rgb="FFE2EFDA"/>
      </patternFill>
    </fill>
    <fill>
      <patternFill patternType="solid">
        <fgColor rgb="FFE2EFDA"/>
        <bgColor rgb="FFDDEBF7"/>
      </patternFill>
    </fill>
    <fill>
      <patternFill patternType="solid">
        <fgColor rgb="FFFCE4D6"/>
        <bgColor rgb="FFFFF2CC"/>
      </patternFill>
    </fill>
    <fill>
      <patternFill patternType="solid">
        <fgColor rgb="FFEDE2F6"/>
        <bgColor rgb="FFDDEBF7"/>
      </patternFill>
    </fill>
    <fill>
      <patternFill patternType="solid">
        <fgColor rgb="FFF2F2F2"/>
        <bgColor rgb="FFE2EFDA"/>
      </patternFill>
    </fill>
    <fill>
      <patternFill patternType="solid">
        <fgColor rgb="FFFFF2CC"/>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5" fillId="8" borderId="1" applyAlignment="1" pivotButton="0" quotePrefix="0" xfId="0">
      <alignment horizontal="general" vertical="top" wrapText="1"/>
    </xf>
    <xf numFmtId="0" fontId="7" fillId="0" borderId="0" applyAlignment="1" pivotButton="0" quotePrefix="0" xfId="0">
      <alignment horizontal="general" vertical="bottom"/>
    </xf>
    <xf numFmtId="0" fontId="4" fillId="2" borderId="1" applyAlignment="1" pivotButton="0" quotePrefix="0" xfId="0">
      <alignment horizontal="general" vertical="bottom"/>
    </xf>
    <xf numFmtId="9" fontId="8" fillId="8" borderId="1" applyAlignment="1" pivotButton="0" quotePrefix="0" xfId="0">
      <alignment horizontal="general" vertical="top" wrapText="1"/>
    </xf>
    <xf numFmtId="0" fontId="9" fillId="0" borderId="1" applyAlignment="1" pivotButton="0" quotePrefix="0" xfId="0">
      <alignment horizontal="general" vertical="top" wrapText="1"/>
    </xf>
    <xf numFmtId="9" fontId="9" fillId="0" borderId="1" applyAlignment="1" pivotButton="0" quotePrefix="0" xfId="0">
      <alignment horizontal="general" vertical="top" wrapText="1"/>
    </xf>
    <xf numFmtId="0" fontId="5" fillId="0" borderId="1" applyAlignment="1" pivotButton="0" quotePrefix="0" xfId="0">
      <alignment horizontal="general" vertical="bottom"/>
    </xf>
    <xf numFmtId="0" fontId="8" fillId="8" borderId="1" applyAlignment="1" pivotButton="0" quotePrefix="0" xfId="0">
      <alignment horizontal="center" vertical="bottom"/>
    </xf>
    <xf numFmtId="2" fontId="9"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5" fillId="8" borderId="1" applyAlignment="1" pivotButton="0" quotePrefix="0" xfId="0">
      <alignment horizontal="general" vertical="top" wrapText="1"/>
    </xf>
    <xf numFmtId="0" fontId="7" fillId="0" borderId="0" applyAlignment="1" pivotButton="0" quotePrefix="0" xfId="0">
      <alignment horizontal="general" vertical="bottom"/>
    </xf>
    <xf numFmtId="0" fontId="4" fillId="2" borderId="1" applyAlignment="1" pivotButton="0" quotePrefix="0" xfId="0">
      <alignment horizontal="general" vertical="bottom"/>
    </xf>
    <xf numFmtId="9" fontId="8" fillId="8" borderId="1" applyAlignment="1" pivotButton="0" quotePrefix="0" xfId="0">
      <alignment horizontal="general" vertical="top" wrapText="1"/>
    </xf>
    <xf numFmtId="0" fontId="9" fillId="0" borderId="1" applyAlignment="1" pivotButton="0" quotePrefix="0" xfId="0">
      <alignment horizontal="general" vertical="top" wrapText="1"/>
    </xf>
    <xf numFmtId="9" fontId="9" fillId="0" borderId="1" applyAlignment="1" pivotButton="0" quotePrefix="0" xfId="0">
      <alignment horizontal="general" vertical="top" wrapText="1"/>
    </xf>
    <xf numFmtId="0" fontId="5" fillId="0" borderId="1" applyAlignment="1" pivotButton="0" quotePrefix="0" xfId="0">
      <alignment horizontal="general" vertical="bottom"/>
    </xf>
    <xf numFmtId="0" fontId="8" fillId="8" borderId="1" applyAlignment="1" pivotButton="0" quotePrefix="0" xfId="0">
      <alignment horizontal="center" vertical="bottom"/>
    </xf>
    <xf numFmtId="2" fontId="9" fillId="0" borderId="1" applyAlignment="1" pivotButton="0" quotePrefix="0" xfId="0">
      <alignment horizontal="general" vertical="bottom"/>
    </xf>
    <xf numFmtId="0" fontId="1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2F6"/>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EDE2F6"/>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CreepPork/next-door-key-simulator" TargetMode="External" Id="rId1" /><Relationship Type="http://schemas.openxmlformats.org/officeDocument/2006/relationships/hyperlink" Target="https://github.com/cybermerqury/etsi-gs-qkd-014-referenceimplementation" TargetMode="External" Id="rId2" /><Relationship Type="http://schemas.openxmlformats.org/officeDocument/2006/relationships/hyperlink" Target="https://github.com/thomasarmel/qkd_kme_server" TargetMode="External" Id="rId3" /><Relationship Type="http://schemas.openxmlformats.org/officeDocument/2006/relationships/hyperlink" Target="https://github.com/QUBIP/etsi-qkd-004" TargetMode="External" Id="rId4" /><Relationship Type="http://schemas.openxmlformats.org/officeDocument/2006/relationships/hyperlink" Target="https://github.com/QKDNetSim/qkdnetsim" TargetMode="External" Id="rId5" /><Relationship Type="http://schemas.openxmlformats.org/officeDocument/2006/relationships/hyperlink" Target="https://github.com/Open-QKD-Network/qkd-net" TargetMode="External" Id="rId6" /><Relationship Type="http://schemas.openxmlformats.org/officeDocument/2006/relationships/hyperlink" Target="https://github.com/sequence-toolbox/SeQUeNCe" TargetMode="External" Id="rId7" /><Relationship Type="http://schemas.openxmlformats.org/officeDocument/2006/relationships/hyperlink" Target="https://github.com/tqsd/QuNetSim" TargetMode="External" Id="rId8" /><Relationship Type="http://schemas.openxmlformats.org/officeDocument/2006/relationships/hyperlink" Target="https://github.com/SoftwareQuTech/SimulaQron" TargetMode="External" Id="rId9" /><Relationship Type="http://schemas.openxmlformats.org/officeDocument/2006/relationships/hyperlink" Target="https://github.com/kappall/kms-sdn-agent-interface-specification" TargetMode="External" Id="rId10" /><Relationship Type="http://schemas.openxmlformats.org/officeDocument/2006/relationships/hyperlink" Target="https://github.com/ait-crypto/etsi-gs-qkd-004-push-mode-API-specification" TargetMode="External" Id="rId11" /><Relationship Type="http://schemas.openxmlformats.org/officeDocument/2006/relationships/hyperlink" Target="https://github.com/qursa-uc3m/qkd-etsi-api-c-wrapper" TargetMode="External" Id="rId12" /><Relationship Type="http://schemas.openxmlformats.org/officeDocument/2006/relationships/hyperlink" Target="https://qukaydee.com/" TargetMode="External" Id="rId13" /><Relationship Type="http://schemas.openxmlformats.org/officeDocument/2006/relationships/hyperlink" Target="https://netsquid.org/" TargetMode="External" Id="rId14" /></Relationships>
</file>

<file path=xl/worksheets/sheet1.xml><?xml version="1.0" encoding="utf-8"?>
<worksheet xmlns="http://schemas.openxmlformats.org/spreadsheetml/2006/main">
  <sheetPr filterMode="0">
    <outlinePr summaryBelow="1" summaryRight="1"/>
    <pageSetUpPr fitToPage="0"/>
  </sheetPr>
  <dimension ref="A1:R18"/>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 customWidth="1" style="18" min="1" max="1"/>
    <col width="24" customWidth="1" style="18" min="2" max="2"/>
    <col width="40" customWidth="1" style="18" min="3" max="3"/>
    <col width="22" customWidth="1" style="18" min="4" max="4"/>
    <col width="48" customWidth="1" style="18" min="5" max="5"/>
    <col width="12" customWidth="1" style="18" min="6" max="6"/>
    <col width="16" customWidth="1" style="18" min="7" max="7"/>
    <col width="20" customWidth="1" style="18" min="8" max="8"/>
    <col width="13" customWidth="1" style="18" min="9" max="9"/>
    <col width="9" customWidth="1" style="18" min="10" max="10"/>
    <col width="16" customWidth="1" style="18" min="11" max="11"/>
    <col width="55" customWidth="1" style="18" min="12" max="12"/>
    <col width="12" customWidth="1" style="18" min="13" max="13"/>
    <col width="18" customWidth="1" style="19" min="14" max="14"/>
    <col width="18" customWidth="1" style="19" min="15" max="15"/>
    <col width="18" customWidth="1" style="19" min="16" max="16"/>
    <col width="18" customWidth="1" style="19" min="17" max="17"/>
    <col width="18" customWidth="1" style="19" min="18" max="18"/>
  </cols>
  <sheetData>
    <row r="1" ht="35.05" customHeight="1" s="19">
      <c r="A1" s="20" t="inlineStr">
        <is>
          <t>#</t>
        </is>
      </c>
      <c r="B1" s="20" t="inlineStr">
        <is>
          <t>Tool</t>
        </is>
      </c>
      <c r="C1" s="20" t="inlineStr">
        <is>
          <t>Link</t>
        </is>
      </c>
      <c r="D1" s="20" t="inlineStr">
        <is>
          <t>Category / Layer</t>
        </is>
      </c>
      <c r="E1" s="20" t="inlineStr">
        <is>
          <t>What it does</t>
        </is>
      </c>
      <c r="F1" s="20" t="inlineStr">
        <is>
          <t>Language</t>
        </is>
      </c>
      <c r="G1" s="20" t="inlineStr">
        <is>
          <t>License</t>
        </is>
      </c>
      <c r="H1" s="20" t="inlineStr">
        <is>
          <t>ETSI APIs</t>
        </is>
      </c>
      <c r="I1" s="20" t="inlineStr">
        <is>
          <t>Last commit</t>
        </is>
      </c>
      <c r="J1" s="20" t="inlineStr">
        <is>
          <t>Docker</t>
        </is>
      </c>
      <c r="K1" s="20" t="inlineStr">
        <is>
          <t>Test status</t>
        </is>
      </c>
      <c r="L1" s="20" t="inlineStr">
        <is>
          <t>Findings / Notes</t>
        </is>
      </c>
      <c r="M1" s="20" t="inlineStr">
        <is>
          <t>Test priority</t>
        </is>
      </c>
      <c r="N1" s="20" t="inlineStr">
        <is>
          <t>Latest release</t>
        </is>
      </c>
      <c r="O1" s="20" t="inlineStr">
        <is>
          <t>Archived</t>
        </is>
      </c>
      <c r="P1" s="20" t="inlineStr">
        <is>
          <t>Stars</t>
        </is>
      </c>
      <c r="Q1" s="20" t="inlineStr">
        <is>
          <t>Flags</t>
        </is>
      </c>
      <c r="R1" s="20" t="inlineStr">
        <is>
          <t>Last checked</t>
        </is>
      </c>
    </row>
    <row r="2" ht="79.84999999999999" customHeight="1" s="19">
      <c r="A2" s="21" t="n">
        <v>1</v>
      </c>
      <c r="B2" s="21" t="inlineStr">
        <is>
          <t>next-door-key-simulator</t>
        </is>
      </c>
      <c r="C2" s="22" t="inlineStr">
        <is>
          <t>https://github.com/CreepPork/next-door-key-simulator</t>
        </is>
      </c>
      <c r="D2" s="23" t="inlineStr">
        <is>
          <t>KMS / ETSI 014</t>
        </is>
      </c>
      <c r="E2" s="21" t="inlineStr">
        <is>
          <t>KME simulator for testing applications (SAEs) over 014, with automatic discovery of KMEs</t>
        </is>
      </c>
      <c r="F2" s="21" t="inlineStr">
        <is>
          <t>Python</t>
        </is>
      </c>
      <c r="G2" s="21" t="inlineStr">
        <is>
          <t>MIT</t>
        </is>
      </c>
      <c r="H2" s="21" t="inlineStr">
        <is>
          <t>014 v1.1.1</t>
        </is>
      </c>
      <c r="I2" s="21" t="inlineStr">
        <is>
          <t>2026-01-20</t>
        </is>
      </c>
      <c r="J2" s="21" t="inlineStr">
        <is>
          <t>Yes</t>
        </is>
      </c>
      <c r="K2" s="24" t="inlineStr">
        <is>
          <t>Tested</t>
        </is>
      </c>
      <c r="L2" s="21" t="inlineStr">
        <is>
          <t>Basic 014 flow correct (same key at both ends), key deleted after delivery, mTLS enforced. Issues: wrong stored_key_count in status, error codes/messages not as in the standard, deadlock when KMEs discover each other at the same time, verify=False on KME–KME traffic, keys in clear text in the logs, non-standard KME–KME protocol. For testing only.</t>
        </is>
      </c>
      <c r="M2" s="21" t="inlineStr">
        <is>
          <t>High</t>
        </is>
      </c>
      <c r="N2" s="18" t="inlineStr">
        <is>
          <t>v1.1.0 (2023-12-20)</t>
        </is>
      </c>
      <c r="O2" s="18" t="inlineStr">
        <is>
          <t>No</t>
        </is>
      </c>
      <c r="P2" s="18" t="n">
        <v>7</v>
      </c>
      <c r="R2" s="18" t="inlineStr">
        <is>
          <t>2026-10-14</t>
        </is>
      </c>
    </row>
    <row r="3" ht="35.05" customHeight="1" s="19">
      <c r="A3" s="21" t="n">
        <v>2</v>
      </c>
      <c r="B3" s="21" t="inlineStr">
        <is>
          <t>ETSI GS QKD 014 reference implementation (cybermerqury)</t>
        </is>
      </c>
      <c r="C3" s="22" t="inlineStr">
        <is>
          <t>https://github.com/cybermerqury/etsi-gs-qkd-014-referenceimplementation</t>
        </is>
      </c>
      <c r="D3" s="23" t="inlineStr">
        <is>
          <t>KMS / ETSI 014</t>
        </is>
      </c>
      <c r="E3" s="21" t="inlineStr">
        <is>
          <t>Reference implementation of a 014 KME server with mandatory mTLS</t>
        </is>
      </c>
      <c r="F3" s="21" t="inlineStr">
        <is>
          <t>Rust</t>
        </is>
      </c>
      <c r="G3" s="21" t="inlineStr">
        <is>
          <t>AGPL-3.0</t>
        </is>
      </c>
      <c r="H3" s="21" t="inlineStr">
        <is>
          <t>014 v1.1.1</t>
        </is>
      </c>
      <c r="I3" s="21" t="inlineStr">
        <is>
          <t>2026-08-14</t>
        </is>
      </c>
      <c r="J3" s="21" t="inlineStr">
        <is>
          <t>Yes</t>
        </is>
      </c>
      <c r="K3" s="21" t="inlineStr">
        <is>
          <t>To test</t>
        </is>
      </c>
      <c r="L3" s="21" t="inlineStr">
        <is>
          <t>AGPL may deter commercial adoption by vendors; a note for the study.</t>
        </is>
      </c>
      <c r="M3" s="21" t="inlineStr">
        <is>
          <t>High</t>
        </is>
      </c>
      <c r="O3" s="18" t="inlineStr">
        <is>
          <t>No</t>
        </is>
      </c>
      <c r="P3" s="18" t="n">
        <v>9</v>
      </c>
      <c r="R3" s="18" t="inlineStr">
        <is>
          <t>2026-10-14</t>
        </is>
      </c>
    </row>
    <row r="4" ht="35.05" customHeight="1" s="19">
      <c r="A4" s="21" t="n">
        <v>3</v>
      </c>
      <c r="B4" s="21" t="inlineStr">
        <is>
          <t>qkd_kme_server</t>
        </is>
      </c>
      <c r="C4" s="22" t="inlineStr">
        <is>
          <t>https://github.com/thomasarmel/qkd_kme_server</t>
        </is>
      </c>
      <c r="D4" s="23" t="inlineStr">
        <is>
          <t>KMS / ETSI 014</t>
        </is>
      </c>
      <c r="E4" s="21" t="inlineStr">
        <is>
          <t>014-compatible KME server; supports many remote KMEs and reads keys from files after privacy amplification</t>
        </is>
      </c>
      <c r="F4" s="21" t="inlineStr">
        <is>
          <t>Rust</t>
        </is>
      </c>
      <c r="G4" s="21" t="inlineStr">
        <is>
          <t>MIT</t>
        </is>
      </c>
      <c r="H4" s="21" t="inlineStr">
        <is>
          <t>014 v1.1.1</t>
        </is>
      </c>
      <c r="I4" s="21" t="inlineStr">
        <is>
          <t>2026-09-27</t>
        </is>
      </c>
      <c r="J4" s="21" t="inlineStr">
        <is>
          <t>Yes</t>
        </is>
      </c>
      <c r="K4" s="21" t="inlineStr">
        <is>
          <t>To test</t>
        </is>
      </c>
      <c r="L4" s="21" t="inlineStr">
        <is>
          <t>More production-like design (SQL database, multiple platforms), linked to a paper on formal verification of 014.</t>
        </is>
      </c>
      <c r="M4" s="21" t="inlineStr">
        <is>
          <t>High</t>
        </is>
      </c>
      <c r="O4" s="18" t="inlineStr">
        <is>
          <t>No</t>
        </is>
      </c>
      <c r="P4" s="18" t="n">
        <v>30</v>
      </c>
      <c r="Q4" s="18" t="inlineStr">
        <is>
          <t>no Dockerfile/compose in the root: to be checked</t>
        </is>
      </c>
      <c r="R4" s="18" t="inlineStr">
        <is>
          <t>2026-10-14</t>
        </is>
      </c>
    </row>
    <row r="5" ht="23.85" customHeight="1" s="19">
      <c r="A5" s="21" t="n">
        <v>4</v>
      </c>
      <c r="B5" s="21" t="inlineStr">
        <is>
          <t>QUBIP etsi-qkd-004</t>
        </is>
      </c>
      <c r="C5" s="22" t="inlineStr">
        <is>
          <t>https://github.com/QUBIP/etsi-qkd-004</t>
        </is>
      </c>
      <c r="D5" s="23" t="inlineStr">
        <is>
          <t>KMS / ETSI 004</t>
        </is>
      </c>
      <c r="E5" s="21" t="inlineStr">
        <is>
          <t>Simulated key generator and KMS for testing the 004 API</t>
        </is>
      </c>
      <c r="F5" s="21" t="inlineStr">
        <is>
          <t>Python</t>
        </is>
      </c>
      <c r="G5" s="21" t="inlineStr">
        <is>
          <t>BSD-3-Clause</t>
        </is>
      </c>
      <c r="H5" s="21" t="inlineStr">
        <is>
          <t>004</t>
        </is>
      </c>
      <c r="I5" s="21" t="inlineStr">
        <is>
          <t>2026-02-06</t>
        </is>
      </c>
      <c r="J5" s="21" t="inlineStr">
        <is>
          <t>Yes</t>
        </is>
      </c>
      <c r="K5" s="21" t="inlineStr">
        <is>
          <t>To test</t>
        </is>
      </c>
      <c r="L5" s="21" t="inlineStr">
        <is>
          <t>Useful for comparing 004 with 014.</t>
        </is>
      </c>
      <c r="M5" s="21" t="inlineStr">
        <is>
          <t>Medium</t>
        </is>
      </c>
      <c r="O5" s="18" t="inlineStr">
        <is>
          <t>No</t>
        </is>
      </c>
      <c r="P5" s="18" t="n">
        <v>7</v>
      </c>
      <c r="R5" s="18" t="inlineStr">
        <is>
          <t>2026-10-14</t>
        </is>
      </c>
    </row>
    <row r="6" ht="23.85" customHeight="1" s="19">
      <c r="A6" s="21" t="n">
        <v>5</v>
      </c>
      <c r="B6" s="21" t="inlineStr">
        <is>
          <t>QKDNetSim v2.0</t>
        </is>
      </c>
      <c r="C6" s="22" t="inlineStr">
        <is>
          <t>https://github.com/QKDNetSim/qkdnetsim</t>
        </is>
      </c>
      <c r="D6" s="25" t="inlineStr">
        <is>
          <t>QKD network simulation</t>
        </is>
      </c>
      <c r="E6" s="21" t="inlineStr">
        <is>
          <t>ns-3 module that simulates QKD networks, KMS, post-processing and encryption</t>
        </is>
      </c>
      <c r="F6" s="21" t="inlineStr">
        <is>
          <t>C++ (ns-3)</t>
        </is>
      </c>
      <c r="G6" s="21" t="inlineStr">
        <is>
          <t>GPL-2.0</t>
        </is>
      </c>
      <c r="H6" s="21" t="inlineStr">
        <is>
          <t>004, 014 (simulated)</t>
        </is>
      </c>
      <c r="I6" s="21" t="inlineStr">
        <is>
          <t>2026-10-08</t>
        </is>
      </c>
      <c r="J6" s="21" t="inlineStr">
        <is>
          <t>No</t>
        </is>
      </c>
      <c r="K6" s="21" t="inlineStr">
        <is>
          <t>To test</t>
        </is>
      </c>
      <c r="L6" s="21" t="inlineStr">
        <is>
          <t>The most mature at network level; includes 004 and 014 applications inside the simulator. Heavy setup (ns-3).</t>
        </is>
      </c>
      <c r="M6" s="21" t="inlineStr">
        <is>
          <t>High</t>
        </is>
      </c>
      <c r="N6" s="18" t="inlineStr">
        <is>
          <t>v3.1.4 (2026-09-21)</t>
        </is>
      </c>
      <c r="O6" s="18" t="inlineStr">
        <is>
          <t>No</t>
        </is>
      </c>
      <c r="P6" s="18" t="n">
        <v>35</v>
      </c>
      <c r="R6" s="18" t="inlineStr">
        <is>
          <t>2026-10-14</t>
        </is>
      </c>
    </row>
    <row r="7" ht="35.05" customHeight="1" s="19">
      <c r="A7" s="21" t="n">
        <v>6</v>
      </c>
      <c r="B7" s="21" t="inlineStr">
        <is>
          <t>Open QKD Network (qkd-net)</t>
        </is>
      </c>
      <c r="C7" s="22" t="inlineStr">
        <is>
          <t>https://github.com/Open-QKD-Network/qkd-net</t>
        </is>
      </c>
      <c r="D7" s="24" t="inlineStr">
        <is>
          <t>Full QKD network stack</t>
        </is>
      </c>
      <c r="E7" s="21" t="inlineStr">
        <is>
          <t>Reference implementation of a 4-layer QKD network with microservices, key routing and a QKD link simulator (IQC Waterloo)</t>
        </is>
      </c>
      <c r="F7" s="21" t="inlineStr">
        <is>
          <t>Java</t>
        </is>
      </c>
      <c r="G7" s="21" t="inlineStr">
        <is>
          <t>MIT</t>
        </is>
      </c>
      <c r="H7" s="21" t="inlineStr">
        <is>
          <t>To be checked</t>
        </is>
      </c>
      <c r="I7" s="21" t="inlineStr">
        <is>
          <t>2024-01-25</t>
        </is>
      </c>
      <c r="J7" s="21" t="inlineStr">
        <is>
          <t>No</t>
        </is>
      </c>
      <c r="K7" s="21" t="inlineStr">
        <is>
          <t>To test</t>
        </is>
      </c>
      <c r="L7" s="21" t="inlineStr">
        <is>
          <t>Low activity since 2024, old environment (Java 8, Ubuntu 16.04).</t>
        </is>
      </c>
      <c r="M7" s="21" t="inlineStr">
        <is>
          <t>Medium</t>
        </is>
      </c>
      <c r="O7" s="18" t="inlineStr">
        <is>
          <t>No</t>
        </is>
      </c>
      <c r="P7" s="18" t="n">
        <v>51</v>
      </c>
      <c r="Q7" s="18" t="inlineStr">
        <is>
          <t>no commit since 2024-01-25</t>
        </is>
      </c>
      <c r="R7" s="18" t="inlineStr">
        <is>
          <t>2026-10-14</t>
        </is>
      </c>
    </row>
    <row r="8" ht="35.05" customHeight="1" s="19">
      <c r="A8" s="21" t="n">
        <v>7</v>
      </c>
      <c r="B8" s="21" t="inlineStr">
        <is>
          <t>SeQUeNCe</t>
        </is>
      </c>
      <c r="C8" s="22" t="inlineStr">
        <is>
          <t>https://github.com/sequence-toolbox/SeQUeNCe</t>
        </is>
      </c>
      <c r="D8" s="25" t="inlineStr">
        <is>
          <t>Quantum network simulation</t>
        </is>
      </c>
      <c r="E8" s="21" t="inlineStr">
        <is>
          <t>Simulation of quantum networks with photonic components, control protocols and applications (Argonne)</t>
        </is>
      </c>
      <c r="F8" s="21" t="inlineStr">
        <is>
          <t>Python / C++</t>
        </is>
      </c>
      <c r="G8" s="21" t="inlineStr">
        <is>
          <t>BSD-style (Argonne)</t>
        </is>
      </c>
      <c r="H8" s="21" t="inlineStr">
        <is>
          <t>None</t>
        </is>
      </c>
      <c r="I8" s="21" t="inlineStr">
        <is>
          <t>2026-10-13</t>
        </is>
      </c>
      <c r="J8" s="21" t="inlineStr">
        <is>
          <t>No</t>
        </is>
      </c>
      <c r="K8" s="21" t="inlineStr">
        <is>
          <t>To evaluate</t>
        </is>
      </c>
      <c r="L8" s="21" t="inlineStr">
        <is>
          <t>Physical layer, not KMS; active development.</t>
        </is>
      </c>
      <c r="M8" s="21" t="inlineStr">
        <is>
          <t>Low</t>
        </is>
      </c>
      <c r="N8" s="18" t="inlineStr">
        <is>
          <t>v1.3.0 (2026-10-10)</t>
        </is>
      </c>
      <c r="O8" s="18" t="inlineStr">
        <is>
          <t>No</t>
        </is>
      </c>
      <c r="P8" s="18" t="n">
        <v>180</v>
      </c>
      <c r="R8" s="18" t="inlineStr">
        <is>
          <t>2026-10-14</t>
        </is>
      </c>
    </row>
    <row r="9" ht="23.85" customHeight="1" s="19">
      <c r="A9" s="21" t="n">
        <v>8</v>
      </c>
      <c r="B9" s="21" t="inlineStr">
        <is>
          <t>QuNetSim</t>
        </is>
      </c>
      <c r="C9" s="22" t="inlineStr">
        <is>
          <t>https://github.com/tqsd/QuNetSim</t>
        </is>
      </c>
      <c r="D9" s="25" t="inlineStr">
        <is>
          <t>Quantum network simulation</t>
        </is>
      </c>
      <c r="E9" s="21" t="inlineStr">
        <is>
          <t>Framework for simulating quantum networks at protocol level</t>
        </is>
      </c>
      <c r="F9" s="21" t="inlineStr">
        <is>
          <t>Python</t>
        </is>
      </c>
      <c r="G9" s="21" t="inlineStr">
        <is>
          <t>MIT</t>
        </is>
      </c>
      <c r="H9" s="21" t="inlineStr">
        <is>
          <t>None</t>
        </is>
      </c>
      <c r="I9" s="21" t="inlineStr">
        <is>
          <t>2023-06-07</t>
        </is>
      </c>
      <c r="J9" s="21" t="inlineStr">
        <is>
          <t>No</t>
        </is>
      </c>
      <c r="K9" s="21" t="inlineStr">
        <is>
          <t>To evaluate</t>
        </is>
      </c>
      <c r="L9" s="21" t="inlineStr">
        <is>
          <t>Inactive since 2023.</t>
        </is>
      </c>
      <c r="M9" s="21" t="inlineStr">
        <is>
          <t>Low</t>
        </is>
      </c>
      <c r="O9" s="18" t="inlineStr">
        <is>
          <t>No</t>
        </is>
      </c>
      <c r="P9" s="18" t="n">
        <v>145</v>
      </c>
      <c r="Q9" s="18" t="inlineStr">
        <is>
          <t>no commit since 2023-06-07</t>
        </is>
      </c>
      <c r="R9" s="18" t="inlineStr">
        <is>
          <t>2026-10-14</t>
        </is>
      </c>
    </row>
    <row r="10" ht="23.85" customHeight="1" s="19">
      <c r="A10" s="21" t="n">
        <v>9</v>
      </c>
      <c r="B10" s="21" t="inlineStr">
        <is>
          <t>SimulaQron</t>
        </is>
      </c>
      <c r="C10" s="22" t="inlineStr">
        <is>
          <t>https://github.com/SoftwareQuTech/SimulaQron</t>
        </is>
      </c>
      <c r="D10" s="25" t="inlineStr">
        <is>
          <t>Quantum network simulation</t>
        </is>
      </c>
      <c r="E10" s="21" t="inlineStr">
        <is>
          <t>Distributed simulation of quantum networks for application development (QuTech)</t>
        </is>
      </c>
      <c r="F10" s="21" t="inlineStr">
        <is>
          <t>Python</t>
        </is>
      </c>
      <c r="G10" s="21" t="inlineStr">
        <is>
          <t>BSD-style</t>
        </is>
      </c>
      <c r="H10" s="21" t="inlineStr">
        <is>
          <t>None</t>
        </is>
      </c>
      <c r="I10" s="21" t="inlineStr">
        <is>
          <t>2026-05-15</t>
        </is>
      </c>
      <c r="J10" s="21" t="inlineStr">
        <is>
          <t>Yes</t>
        </is>
      </c>
      <c r="K10" s="21" t="inlineStr">
        <is>
          <t>To evaluate</t>
        </is>
      </c>
      <c r="L10" s="21" t="inlineStr">
        <is>
          <t>Used for BB84 over OpenSSL in hackathons.</t>
        </is>
      </c>
      <c r="M10" s="21" t="inlineStr">
        <is>
          <t>Low</t>
        </is>
      </c>
      <c r="O10" s="18" t="inlineStr">
        <is>
          <t>No</t>
        </is>
      </c>
      <c r="P10" s="18" t="n">
        <v>135</v>
      </c>
      <c r="R10" s="18" t="inlineStr">
        <is>
          <t>2026-10-14</t>
        </is>
      </c>
    </row>
    <row r="11" ht="23.85" customHeight="1" s="19">
      <c r="A11" s="21" t="n">
        <v>10</v>
      </c>
      <c r="B11" s="21" t="inlineStr">
        <is>
          <t>QUICKS KMS–SDN Agent interface (AIT)</t>
        </is>
      </c>
      <c r="C11" s="22" t="inlineStr">
        <is>
          <t>https://github.com/kappall/kms-sdn-agent-interface-specification</t>
        </is>
      </c>
      <c r="D11" s="26" t="inlineStr">
        <is>
          <t>SDN / Control plane</t>
        </is>
      </c>
      <c r="E11" s="21" t="inlineStr">
        <is>
          <t>Specification of a REST API between KMS and SDN agent, which ETSI does not cover</t>
        </is>
      </c>
      <c r="F11" s="21" t="inlineStr">
        <is>
          <t>Spec (REST)</t>
        </is>
      </c>
      <c r="G11" s="21" t="inlineStr">
        <is>
          <t>MIT</t>
        </is>
      </c>
      <c r="H11" s="21" t="inlineStr">
        <is>
          <t>Related to 015</t>
        </is>
      </c>
      <c r="I11" s="21" t="inlineStr">
        <is>
          <t>2026-07-09</t>
        </is>
      </c>
      <c r="J11" s="21" t="inlineStr">
        <is>
          <t>No</t>
        </is>
      </c>
      <c r="K11" s="21" t="inlineStr">
        <is>
          <t>To study</t>
        </is>
      </c>
      <c r="L11" s="21" t="inlineStr">
        <is>
          <t>From AIT (HarmoniQCI coordinator); points to a specific gap in the standards.</t>
        </is>
      </c>
      <c r="M11" s="21" t="inlineStr">
        <is>
          <t>High</t>
        </is>
      </c>
      <c r="O11" s="18" t="inlineStr">
        <is>
          <t>No</t>
        </is>
      </c>
      <c r="P11" s="18" t="n">
        <v>0</v>
      </c>
      <c r="R11" s="18" t="inlineStr">
        <is>
          <t>2026-10-14</t>
        </is>
      </c>
    </row>
    <row r="12" ht="23.85" customHeight="1" s="19">
      <c r="A12" s="21" t="n">
        <v>11</v>
      </c>
      <c r="B12" s="21" t="inlineStr">
        <is>
          <t>ETSI 004 push-mode API spec (AIT)</t>
        </is>
      </c>
      <c r="C12" s="22" t="inlineStr">
        <is>
          <t>https://github.com/ait-crypto/etsi-gs-qkd-004-push-mode-API-specification</t>
        </is>
      </c>
      <c r="D12" s="26" t="inlineStr">
        <is>
          <t>SDN / Control plane</t>
        </is>
      </c>
      <c r="E12" s="21" t="inlineStr">
        <is>
          <t>Specification of a push-mode extension of 004</t>
        </is>
      </c>
      <c r="F12" s="21" t="inlineStr">
        <is>
          <t>Spec</t>
        </is>
      </c>
      <c r="G12" s="21" t="inlineStr">
        <is>
          <t>MIT</t>
        </is>
      </c>
      <c r="H12" s="21" t="inlineStr">
        <is>
          <t>004</t>
        </is>
      </c>
      <c r="I12" s="21" t="inlineStr">
        <is>
          <t>2026-02-06</t>
        </is>
      </c>
      <c r="J12" s="21" t="inlineStr">
        <is>
          <t>No</t>
        </is>
      </c>
      <c r="K12" s="21" t="inlineStr">
        <is>
          <t>To study</t>
        </is>
      </c>
      <c r="L12" s="21" t="inlineStr">
        <is>
          <t>Also from AIT; a possible topic for ETSI.</t>
        </is>
      </c>
      <c r="M12" s="21" t="inlineStr">
        <is>
          <t>Medium</t>
        </is>
      </c>
      <c r="N12" s="18" t="inlineStr">
        <is>
          <t>v1.0.1 (2026-02-06)</t>
        </is>
      </c>
      <c r="O12" s="18" t="inlineStr">
        <is>
          <t>No</t>
        </is>
      </c>
      <c r="P12" s="18" t="n">
        <v>2</v>
      </c>
      <c r="R12" s="18" t="inlineStr">
        <is>
          <t>2026-10-14</t>
        </is>
      </c>
    </row>
    <row r="13" ht="23.85" customHeight="1" s="19">
      <c r="A13" s="21" t="n">
        <v>12</v>
      </c>
      <c r="B13" s="21" t="inlineStr">
        <is>
          <t>qkd-etsi-api-c-wrapper</t>
        </is>
      </c>
      <c r="C13" s="22" t="inlineStr">
        <is>
          <t>https://github.com/qursa-uc3m/qkd-etsi-api-c-wrapper</t>
        </is>
      </c>
      <c r="D13" s="27" t="inlineStr">
        <is>
          <t>Library / Integration</t>
        </is>
      </c>
      <c r="E13" s="21" t="inlineStr">
        <is>
          <t>C wrapper for ETSI 004 and 014 calls from applications (UC3M)</t>
        </is>
      </c>
      <c r="F13" s="21" t="inlineStr">
        <is>
          <t>C</t>
        </is>
      </c>
      <c r="G13" s="21" t="inlineStr">
        <is>
          <t>To be checked</t>
        </is>
      </c>
      <c r="H13" s="21" t="inlineStr">
        <is>
          <t>004, 014</t>
        </is>
      </c>
      <c r="I13" s="21" t="inlineStr">
        <is>
          <t>2026-08-14</t>
        </is>
      </c>
      <c r="J13" s="21" t="inlineStr">
        <is>
          <t>To be checked</t>
        </is>
      </c>
      <c r="K13" s="21" t="inlineStr">
        <is>
          <t>To evaluate</t>
        </is>
      </c>
      <c r="L13" s="21" t="inlineStr">
        <is>
          <t>Useful for interoperability tests between different KMEs.</t>
        </is>
      </c>
      <c r="M13" s="21" t="inlineStr">
        <is>
          <t>Medium</t>
        </is>
      </c>
      <c r="N13" s="18" t="inlineStr">
        <is>
          <t>0.1.1 (2026-07-15)</t>
        </is>
      </c>
      <c r="O13" s="18" t="inlineStr">
        <is>
          <t>No</t>
        </is>
      </c>
      <c r="P13" s="18" t="n">
        <v>10</v>
      </c>
      <c r="R13" s="18" t="inlineStr">
        <is>
          <t>2026-10-14</t>
        </is>
      </c>
    </row>
    <row r="14" ht="23.85" customHeight="1" s="19">
      <c r="A14" s="21" t="n">
        <v>13</v>
      </c>
      <c r="B14" s="21" t="inlineStr">
        <is>
          <t>QuKayDee</t>
        </is>
      </c>
      <c r="C14" s="22" t="inlineStr">
        <is>
          <t>https://qukaydee.com</t>
        </is>
      </c>
      <c r="D14" s="28" t="inlineStr">
        <is>
          <t>Cloud testbed (not open source)</t>
        </is>
      </c>
      <c r="E14" s="21" t="inlineStr">
        <is>
          <t>QKD simulator in the cloud for interoperability testing of encryptors without hardware</t>
        </is>
      </c>
      <c r="F14" s="21" t="inlineStr">
        <is>
          <t>—</t>
        </is>
      </c>
      <c r="G14" s="21" t="inlineStr">
        <is>
          <t>Service</t>
        </is>
      </c>
      <c r="H14" s="21" t="inlineStr">
        <is>
          <t>014</t>
        </is>
      </c>
      <c r="I14" s="21" t="inlineStr">
        <is>
          <t>—</t>
        </is>
      </c>
      <c r="J14" s="21" t="inlineStr">
        <is>
          <t>—</t>
        </is>
      </c>
      <c r="K14" s="21" t="inlineStr">
        <is>
          <t>To evaluate</t>
        </is>
      </c>
      <c r="L14" s="21" t="inlineStr">
        <is>
          <t>Not open source, but exactly a 'tool in the cloud'; a good reference point.</t>
        </is>
      </c>
      <c r="M14" s="21" t="inlineStr">
        <is>
          <t>Medium</t>
        </is>
      </c>
      <c r="Q14" s="18" t="inlineStr">
        <is>
          <t>page offline: not reachable (ProxyError)</t>
        </is>
      </c>
      <c r="R14" s="18" t="inlineStr">
        <is>
          <t>2026-10-14</t>
        </is>
      </c>
    </row>
    <row r="15" ht="35.05" customHeight="1" s="19">
      <c r="A15" s="21" t="n">
        <v>14</v>
      </c>
      <c r="B15" s="21" t="inlineStr">
        <is>
          <t>NetSquid</t>
        </is>
      </c>
      <c r="C15" s="22" t="inlineStr">
        <is>
          <t>https://netsquid.org</t>
        </is>
      </c>
      <c r="D15" s="28" t="inlineStr">
        <is>
          <t>Simulation (not open source)</t>
        </is>
      </c>
      <c r="E15" s="21" t="inlineStr">
        <is>
          <t>Quantum network simulator (QuTech)</t>
        </is>
      </c>
      <c r="F15" s="21" t="inlineStr">
        <is>
          <t>Python</t>
        </is>
      </c>
      <c r="G15" s="21" t="inlineStr">
        <is>
          <t>Closed source, free with registration</t>
        </is>
      </c>
      <c r="H15" s="21" t="inlineStr">
        <is>
          <t>None</t>
        </is>
      </c>
      <c r="I15" s="21" t="inlineStr">
        <is>
          <t>—</t>
        </is>
      </c>
      <c r="J15" s="21" t="inlineStr">
        <is>
          <t>—</t>
        </is>
      </c>
      <c r="K15" s="21" t="inlineStr">
        <is>
          <t>Reference</t>
        </is>
      </c>
      <c r="L15" s="21" t="inlineStr">
        <is>
          <t>Not open source; listed for completeness.</t>
        </is>
      </c>
      <c r="M15" s="21" t="inlineStr">
        <is>
          <t>Low</t>
        </is>
      </c>
      <c r="Q15" s="18" t="inlineStr">
        <is>
          <t>page offline: not reachable (ProxyError)</t>
        </is>
      </c>
      <c r="R15" s="18" t="inlineStr">
        <is>
          <t>2026-10-14</t>
        </is>
      </c>
    </row>
    <row r="16">
      <c r="A16" s="21" t="inlineStr">
        <is>
          <t>15</t>
        </is>
      </c>
      <c r="B16" s="21" t="inlineStr">
        <is>
          <t>qkd-simulator (HarmoniQCI)</t>
        </is>
      </c>
      <c r="C16" s="22" t="inlineStr">
        <is>
          <t>https://github.com/swtoskon33/qkd-simulator</t>
        </is>
      </c>
      <c r="D16" s="28" t="inlineStr">
        <is>
          <t>SDN / Control plane (HarmoniQCI implementation)</t>
        </is>
      </c>
      <c r="E16" s="21" t="inlineStr">
        <is>
          <t>ETSI GS QKD 015 implementation: SD-QKD nodes with a YANG datastore, SD-QNC controller, dashboard, ETSI 014 towards applications and connection to existing KMEs/KMSs</t>
        </is>
      </c>
      <c r="F16" s="21" t="inlineStr">
        <is>
          <t>Python</t>
        </is>
      </c>
      <c r="G16" s="21" t="inlineStr">
        <is>
          <t>To be checked</t>
        </is>
      </c>
      <c r="H16" s="21" t="inlineStr">
        <is>
          <t>015, 014</t>
        </is>
      </c>
      <c r="I16" s="21" t="n"/>
      <c r="J16" s="21" t="inlineStr">
        <is>
          <t>Yes</t>
        </is>
      </c>
      <c r="K16" s="21" t="inlineStr">
        <is>
          <t>Tested</t>
        </is>
      </c>
      <c r="L16" s="21" t="inlineStr">
        <is>
          <t>Passes every check of etsi015-doctor. Tested with keys from qkd_kme_server and from the partners' QKD Simulator (.NET), also on their server.</t>
        </is>
      </c>
      <c r="M16" s="21" t="inlineStr">
        <is>
          <t>High</t>
        </is>
      </c>
      <c r="Q16" s="18" t="inlineStr">
        <is>
          <t>repository not found on GitHub (or private and the token has no access)</t>
        </is>
      </c>
      <c r="R16" s="18" t="inlineStr">
        <is>
          <t>2026-10-14</t>
        </is>
      </c>
    </row>
    <row r="17" ht="15" customHeight="1" s="19"/>
    <row r="18">
      <c r="B18" s="29" t="inlineStr">
        <is>
          <t>Source: license and last commit from shallow clones of the repositories on 21/09/2026. "To be checked" = not confirmed yet.</t>
        </is>
      </c>
    </row>
  </sheetData>
  <autoFilter ref="A1:R16"/>
  <dataValidations count="2">
    <dataValidation sqref="K2:K54" showDropDown="0" showInputMessage="0" showErrorMessage="0" allowBlank="0" type="list" errorStyle="stop" operator="between">
      <formula1>"Tested,To test,To evaluate,To study,Reference"</formula1>
      <formula2>0</formula2>
    </dataValidation>
    <dataValidation sqref="M2:M54" showDropDown="0" showInputMessage="0" showErrorMessage="0" allowBlank="0" type="list" errorStyle="stop" operator="between">
      <formula1>"High,Medium,Low"</formula1>
      <formula2>0</formula2>
    </dataValidation>
  </dataValidations>
  <hyperlinks>
    <hyperlink xmlns:r="http://schemas.openxmlformats.org/officeDocument/2006/relationships" ref="C2" display="https://github.com/CreepPork/next-door-key-simulator" r:id="rId1"/>
    <hyperlink xmlns:r="http://schemas.openxmlformats.org/officeDocument/2006/relationships" ref="C3" display="https://github.com/cybermerqury/etsi-gs-qkd-014-referenceimplementation" r:id="rId2"/>
    <hyperlink xmlns:r="http://schemas.openxmlformats.org/officeDocument/2006/relationships" ref="C4" display="https://github.com/thomasarmel/qkd_kme_server" r:id="rId3"/>
    <hyperlink xmlns:r="http://schemas.openxmlformats.org/officeDocument/2006/relationships" ref="C5" display="https://github.com/QUBIP/etsi-qkd-004" r:id="rId4"/>
    <hyperlink xmlns:r="http://schemas.openxmlformats.org/officeDocument/2006/relationships" ref="C6" display="https://github.com/QKDNetSim/qkdnetsim" r:id="rId5"/>
    <hyperlink xmlns:r="http://schemas.openxmlformats.org/officeDocument/2006/relationships" ref="C7" display="https://github.com/Open-QKD-Network/qkd-net" r:id="rId6"/>
    <hyperlink xmlns:r="http://schemas.openxmlformats.org/officeDocument/2006/relationships" ref="C8" display="https://github.com/sequence-toolbox/SeQUeNCe" r:id="rId7"/>
    <hyperlink xmlns:r="http://schemas.openxmlformats.org/officeDocument/2006/relationships" ref="C9" display="https://github.com/tqsd/QuNetSim" r:id="rId8"/>
    <hyperlink xmlns:r="http://schemas.openxmlformats.org/officeDocument/2006/relationships" ref="C10" display="https://github.com/SoftwareQuTech/SimulaQron" r:id="rId9"/>
    <hyperlink xmlns:r="http://schemas.openxmlformats.org/officeDocument/2006/relationships" ref="C11" display="https://github.com/kappall/kms-sdn-agent-interface-specification" r:id="rId10"/>
    <hyperlink xmlns:r="http://schemas.openxmlformats.org/officeDocument/2006/relationships" ref="C12" display="https://github.com/ait-crypto/etsi-gs-qkd-004-push-mode-API-specification" r:id="rId11"/>
    <hyperlink xmlns:r="http://schemas.openxmlformats.org/officeDocument/2006/relationships" ref="C13" display="https://github.com/qursa-uc3m/qkd-etsi-api-c-wrapper" r:id="rId12"/>
    <hyperlink xmlns:r="http://schemas.openxmlformats.org/officeDocument/2006/relationships" ref="C14" display="https://qukaydee.com" r:id="rId13"/>
    <hyperlink xmlns:r="http://schemas.openxmlformats.org/officeDocument/2006/relationships" ref="C15" display="https://netsquid.org" r:id="rId1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8" min="1" max="1"/>
    <col width="70" customWidth="1" style="18" min="2" max="2"/>
    <col width="10" customWidth="1" style="18" min="3" max="3"/>
  </cols>
  <sheetData>
    <row r="1" ht="15" customHeight="1" s="19">
      <c r="A1" s="30" t="inlineStr">
        <is>
          <t>Criterion</t>
        </is>
      </c>
      <c r="B1" s="30" t="inlineStr">
        <is>
          <t>What it measures</t>
        </is>
      </c>
      <c r="C1" s="30" t="inlineStr">
        <is>
          <t>Weight</t>
        </is>
      </c>
    </row>
    <row r="2" ht="15" customHeight="1" s="19">
      <c r="A2" s="21" t="inlineStr">
        <is>
          <t>ETSI compliance</t>
        </is>
      </c>
      <c r="B2" s="21" t="inlineStr">
        <is>
          <t>How faithfully it implements the ETSI APIs (endpoints, fields, error codes)</t>
        </is>
      </c>
      <c r="C2" s="31" t="n">
        <v>0.3</v>
      </c>
    </row>
    <row r="3" ht="15" customHeight="1" s="19">
      <c r="A3" s="21" t="inlineStr">
        <is>
          <t>Security</t>
        </is>
      </c>
      <c r="B3" s="21" t="inlineStr">
        <is>
          <t>mTLS, certificate checks, key handling, logs</t>
        </is>
      </c>
      <c r="C3" s="31" t="n">
        <v>0.2</v>
      </c>
    </row>
    <row r="4" ht="15" customHeight="1" s="19">
      <c r="A4" s="21" t="inlineStr">
        <is>
          <t>Ease of deployment</t>
        </is>
      </c>
      <c r="B4" s="21" t="inlineStr">
        <is>
          <t>Runs in the cloud/Docker without special setup</t>
        </is>
      </c>
      <c r="C4" s="31" t="n">
        <v>0.15</v>
      </c>
    </row>
    <row r="5" ht="15" customHeight="1" s="19">
      <c r="A5" s="21" t="inlineStr">
        <is>
          <t>Reliability</t>
        </is>
      </c>
      <c r="B5" s="21" t="inlineStr">
        <is>
          <t>Stability, no hangs or unexpected behaviour</t>
        </is>
      </c>
      <c r="C5" s="31" t="n">
        <v>0.15</v>
      </c>
    </row>
    <row r="6" ht="15" customHeight="1" s="19">
      <c r="A6" s="21" t="inlineStr">
        <is>
          <t>Maintenance / Community</t>
        </is>
      </c>
      <c r="B6" s="21" t="inlineStr">
        <is>
          <t>Recent commits, active maintainers, issues</t>
        </is>
      </c>
      <c r="C6" s="31" t="n">
        <v>0.1</v>
      </c>
    </row>
    <row r="7" ht="15" customHeight="1" s="19">
      <c r="A7" s="21" t="inlineStr">
        <is>
          <t>Documentation</t>
        </is>
      </c>
      <c r="B7" s="21" t="inlineStr">
        <is>
          <t>Quality of README, docs, examples</t>
        </is>
      </c>
      <c r="C7" s="31" t="n">
        <v>0.1</v>
      </c>
    </row>
    <row r="8" ht="15" customHeight="1" s="19">
      <c r="A8" s="32" t="inlineStr">
        <is>
          <t>Sum of weights</t>
        </is>
      </c>
      <c r="B8" s="21" t="n"/>
      <c r="C8" s="33">
        <f>SUM(C2:C7)</f>
        <v/>
      </c>
    </row>
    <row r="10" ht="15" customHeight="1" s="19">
      <c r="A10" s="29" t="inlineStr">
        <is>
          <t>Scale: 1 = very poor, 3 = adequate, 5 = very good. The weights (yellow cells) are a proposal, to be adjusted after discussion with Mr Papadopoulos.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4" customWidth="1" style="18" min="1" max="1"/>
    <col width="15" customWidth="1" style="18" min="2" max="7"/>
    <col width="16" customWidth="1" style="18" min="8" max="8"/>
  </cols>
  <sheetData>
    <row r="1" ht="23.85" customHeight="1" s="19">
      <c r="A1" s="20" t="inlineStr">
        <is>
          <t>Tool</t>
        </is>
      </c>
      <c r="B1" s="20" t="inlineStr">
        <is>
          <t>ETSI compliance</t>
        </is>
      </c>
      <c r="C1" s="20" t="inlineStr">
        <is>
          <t>Security</t>
        </is>
      </c>
      <c r="D1" s="20" t="inlineStr">
        <is>
          <t>Ease of deployment</t>
        </is>
      </c>
      <c r="E1" s="20" t="inlineStr">
        <is>
          <t>Reliability</t>
        </is>
      </c>
      <c r="F1" s="20" t="inlineStr">
        <is>
          <t>Maintenance / Community</t>
        </is>
      </c>
      <c r="G1" s="20" t="inlineStr">
        <is>
          <t>Documentation</t>
        </is>
      </c>
      <c r="H1" s="20" t="inlineStr">
        <is>
          <t>Weighted total</t>
        </is>
      </c>
    </row>
    <row r="2" ht="15" customHeight="1" s="19">
      <c r="A2" s="34" t="inlineStr">
        <is>
          <t>next-door-key-simulator</t>
        </is>
      </c>
      <c r="B2" s="35" t="n">
        <v>3</v>
      </c>
      <c r="C2" s="35" t="n">
        <v>2</v>
      </c>
      <c r="D2" s="35" t="n">
        <v>4</v>
      </c>
      <c r="E2" s="35" t="n">
        <v>2</v>
      </c>
      <c r="F2" s="35" t="n">
        <v>3</v>
      </c>
      <c r="G2" s="35" t="n">
        <v>3</v>
      </c>
      <c r="H2" s="36">
        <f>IF(COUNT(B2:G2)=0,"",B2*Criteria!$C$2+C2*Criteria!$C$3+D2*Criteria!$C$4+E2*Criteria!$C$5+F2*Criteria!$C$6+G2*Criteria!$C$7)</f>
        <v/>
      </c>
    </row>
    <row r="3" ht="15" customHeight="1" s="19">
      <c r="A3" s="34" t="inlineStr">
        <is>
          <t>ETSI GS QKD 014 reference implementation (cybermerqury)</t>
        </is>
      </c>
      <c r="B3" s="35" t="n"/>
      <c r="C3" s="35" t="n"/>
      <c r="D3" s="35" t="n"/>
      <c r="E3" s="35" t="n"/>
      <c r="F3" s="35" t="n"/>
      <c r="G3" s="35" t="n"/>
      <c r="H3" s="36">
        <f>IF(COUNT(B3:G3)=0,"",B3*Criteria!$C$2+C3*Criteria!$C$3+D3*Criteria!$C$4+E3*Criteria!$C$5+F3*Criteria!$C$6+G3*Criteria!$C$7)</f>
        <v/>
      </c>
    </row>
    <row r="4" ht="15" customHeight="1" s="19">
      <c r="A4" s="34" t="inlineStr">
        <is>
          <t>qkd_kme_server</t>
        </is>
      </c>
      <c r="B4" s="35" t="n"/>
      <c r="C4" s="35" t="n"/>
      <c r="D4" s="35" t="n"/>
      <c r="E4" s="35" t="n"/>
      <c r="F4" s="35" t="n"/>
      <c r="G4" s="35" t="n"/>
      <c r="H4" s="36">
        <f>IF(COUNT(B4:G4)=0,"",B4*Criteria!$C$2+C4*Criteria!$C$3+D4*Criteria!$C$4+E4*Criteria!$C$5+F4*Criteria!$C$6+G4*Criteria!$C$7)</f>
        <v/>
      </c>
    </row>
    <row r="5" ht="15" customHeight="1" s="19">
      <c r="A5" s="34" t="inlineStr">
        <is>
          <t>QUBIP etsi-qkd-004</t>
        </is>
      </c>
      <c r="B5" s="35" t="n"/>
      <c r="C5" s="35" t="n"/>
      <c r="D5" s="35" t="n"/>
      <c r="E5" s="35" t="n"/>
      <c r="F5" s="35" t="n"/>
      <c r="G5" s="35" t="n"/>
      <c r="H5" s="36">
        <f>IF(COUNT(B5:G5)=0,"",B5*Criteria!$C$2+C5*Criteria!$C$3+D5*Criteria!$C$4+E5*Criteria!$C$5+F5*Criteria!$C$6+G5*Criteria!$C$7)</f>
        <v/>
      </c>
    </row>
    <row r="6" ht="15" customHeight="1" s="19">
      <c r="A6" s="34" t="inlineStr">
        <is>
          <t>QKDNetSim v2.0</t>
        </is>
      </c>
      <c r="B6" s="35" t="n"/>
      <c r="C6" s="35" t="n"/>
      <c r="D6" s="35" t="n"/>
      <c r="E6" s="35" t="n"/>
      <c r="F6" s="35" t="n"/>
      <c r="G6" s="35" t="n"/>
      <c r="H6" s="36">
        <f>IF(COUNT(B6:G6)=0,"",B6*Criteria!$C$2+C6*Criteria!$C$3+D6*Criteria!$C$4+E6*Criteria!$C$5+F6*Criteria!$C$6+G6*Criteria!$C$7)</f>
        <v/>
      </c>
    </row>
    <row r="7" ht="15" customHeight="1" s="19">
      <c r="A7" s="34" t="inlineStr">
        <is>
          <t>Open QKD Network (qkd-net)</t>
        </is>
      </c>
      <c r="B7" s="35" t="n"/>
      <c r="C7" s="35" t="n"/>
      <c r="D7" s="35" t="n"/>
      <c r="E7" s="35" t="n"/>
      <c r="F7" s="35" t="n"/>
      <c r="G7" s="35" t="n"/>
      <c r="H7" s="36">
        <f>IF(COUNT(B7:G7)=0,"",B7*Criteria!$C$2+C7*Criteria!$C$3+D7*Criteria!$C$4+E7*Criteria!$C$5+F7*Criteria!$C$6+G7*Criteria!$C$7)</f>
        <v/>
      </c>
    </row>
    <row r="8" ht="15" customHeight="1" s="19">
      <c r="A8" s="34" t="inlineStr">
        <is>
          <t>SeQUeNCe</t>
        </is>
      </c>
      <c r="B8" s="35" t="n"/>
      <c r="C8" s="35" t="n"/>
      <c r="D8" s="35" t="n"/>
      <c r="E8" s="35" t="n"/>
      <c r="F8" s="35" t="n"/>
      <c r="G8" s="35" t="n"/>
      <c r="H8" s="36">
        <f>IF(COUNT(B8:G8)=0,"",B8*Criteria!$C$2+C8*Criteria!$C$3+D8*Criteria!$C$4+E8*Criteria!$C$5+F8*Criteria!$C$6+G8*Criteria!$C$7)</f>
        <v/>
      </c>
    </row>
    <row r="9" ht="15" customHeight="1" s="19">
      <c r="A9" s="34" t="inlineStr">
        <is>
          <t>QuNetSim</t>
        </is>
      </c>
      <c r="B9" s="35" t="n"/>
      <c r="C9" s="35" t="n"/>
      <c r="D9" s="35" t="n"/>
      <c r="E9" s="35" t="n"/>
      <c r="F9" s="35" t="n"/>
      <c r="G9" s="35" t="n"/>
      <c r="H9" s="36">
        <f>IF(COUNT(B9:G9)=0,"",B9*Criteria!$C$2+C9*Criteria!$C$3+D9*Criteria!$C$4+E9*Criteria!$C$5+F9*Criteria!$C$6+G9*Criteria!$C$7)</f>
        <v/>
      </c>
    </row>
    <row r="10" ht="15" customHeight="1" s="19">
      <c r="A10" s="34" t="inlineStr">
        <is>
          <t>SimulaQron</t>
        </is>
      </c>
      <c r="B10" s="35" t="n"/>
      <c r="C10" s="35" t="n"/>
      <c r="D10" s="35" t="n"/>
      <c r="E10" s="35" t="n"/>
      <c r="F10" s="35" t="n"/>
      <c r="G10" s="35" t="n"/>
      <c r="H10" s="36">
        <f>IF(COUNT(B10:G10)=0,"",B10*Criteria!$C$2+C10*Criteria!$C$3+D10*Criteria!$C$4+E10*Criteria!$C$5+F10*Criteria!$C$6+G10*Criteria!$C$7)</f>
        <v/>
      </c>
    </row>
    <row r="11" ht="15" customHeight="1" s="19">
      <c r="A11" s="34" t="inlineStr">
        <is>
          <t>QUICKS KMS–SDN Agent interface (AIT)</t>
        </is>
      </c>
      <c r="B11" s="35" t="n"/>
      <c r="C11" s="35" t="n"/>
      <c r="D11" s="35" t="n"/>
      <c r="E11" s="35" t="n"/>
      <c r="F11" s="35" t="n"/>
      <c r="G11" s="35" t="n"/>
      <c r="H11" s="36">
        <f>IF(COUNT(B11:G11)=0,"",B11*Criteria!$C$2+C11*Criteria!$C$3+D11*Criteria!$C$4+E11*Criteria!$C$5+F11*Criteria!$C$6+G11*Criteria!$C$7)</f>
        <v/>
      </c>
    </row>
    <row r="12" ht="15" customHeight="1" s="19">
      <c r="A12" s="34" t="inlineStr">
        <is>
          <t>ETSI 004 push-mode API spec (AIT)</t>
        </is>
      </c>
      <c r="B12" s="35" t="n"/>
      <c r="C12" s="35" t="n"/>
      <c r="D12" s="35" t="n"/>
      <c r="E12" s="35" t="n"/>
      <c r="F12" s="35" t="n"/>
      <c r="G12" s="35" t="n"/>
      <c r="H12" s="36">
        <f>IF(COUNT(B12:G12)=0,"",B12*Criteria!$C$2+C12*Criteria!$C$3+D12*Criteria!$C$4+E12*Criteria!$C$5+F12*Criteria!$C$6+G12*Criteria!$C$7)</f>
        <v/>
      </c>
    </row>
    <row r="13" ht="15" customHeight="1" s="19">
      <c r="A13" s="34" t="inlineStr">
        <is>
          <t>qkd-etsi-api-c-wrapper</t>
        </is>
      </c>
      <c r="B13" s="35" t="n"/>
      <c r="C13" s="35" t="n"/>
      <c r="D13" s="35" t="n"/>
      <c r="E13" s="35" t="n"/>
      <c r="F13" s="35" t="n"/>
      <c r="G13" s="35" t="n"/>
      <c r="H13" s="36">
        <f>IF(COUNT(B13:G13)=0,"",B13*Criteria!$C$2+C13*Criteria!$C$3+D13*Criteria!$C$4+E13*Criteria!$C$5+F13*Criteria!$C$6+G13*Criteria!$C$7)</f>
        <v/>
      </c>
    </row>
    <row r="14" ht="15" customHeight="1" s="19">
      <c r="A14" s="34" t="inlineStr">
        <is>
          <t>QuKayDee</t>
        </is>
      </c>
      <c r="B14" s="35" t="n"/>
      <c r="C14" s="35" t="n"/>
      <c r="D14" s="35" t="n"/>
      <c r="E14" s="35" t="n"/>
      <c r="F14" s="35" t="n"/>
      <c r="G14" s="35" t="n"/>
      <c r="H14" s="36">
        <f>IF(COUNT(B14:G14)=0,"",B14*Criteria!$C$2+C14*Criteria!$C$3+D14*Criteria!$C$4+E14*Criteria!$C$5+F14*Criteria!$C$6+G14*Criteria!$C$7)</f>
        <v/>
      </c>
    </row>
    <row r="15">
      <c r="A15" s="34" t="inlineStr">
        <is>
          <t>qkd-simulator (HarmoniQCI)</t>
        </is>
      </c>
      <c r="B15" s="35" t="n"/>
      <c r="C15" s="35" t="n"/>
      <c r="D15" s="35" t="n"/>
      <c r="E15" s="35" t="n"/>
      <c r="F15" s="35" t="n"/>
      <c r="G15" s="35" t="n"/>
      <c r="H15" s="36">
        <f>IF(COUNT(B15:G15)=0,"",B15*Criteria!$C$2+C15*Criteria!$C$3+D15*Criteria!$C$4+E15*Criteria!$C$5+F15*Criteria!$C$6+G15*Criteria!$C$7)</f>
        <v/>
      </c>
    </row>
    <row r="16" ht="15" customHeight="1" s="19"/>
    <row r="17" ht="15" customHeight="1" s="19">
      <c r="A17" s="29" t="inlineStr">
        <is>
          <t>Fill in the yellow cells (1–5) after testing each tool; the total is computed from the weights in the sheet "Criteria".</t>
        </is>
      </c>
    </row>
    <row r="18">
      <c r="A18" s="29" t="inlineStr">
        <is>
          <t>The next-door-key-simulator row is an indicative score based on our test.</t>
        </is>
      </c>
    </row>
  </sheetData>
  <dataValidations count="1">
    <dataValidation sqref="B2:G15" showDropDown="0" showInputMessage="0" showErrorMessage="0" allowBlank="0" type="whole" errorStyle="stop" operator="between">
      <formula1>1</formula1>
      <formula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K38"/>
  <sheetViews>
    <sheetView workbookViewId="0">
      <pane ySplit="1" topLeftCell="A2" activePane="bottomLeft" state="frozen"/>
      <selection pane="bottomLeft" activeCell="A1" sqref="A1"/>
    </sheetView>
  </sheetViews>
  <sheetFormatPr baseColWidth="8" defaultRowHeight="15"/>
  <sheetData>
    <row r="1">
      <c r="A1" s="37" t="inlineStr">
        <is>
          <t>Repo</t>
        </is>
      </c>
      <c r="B1" s="37" t="inlineStr">
        <is>
          <t>Link</t>
        </is>
      </c>
      <c r="C1" s="37" t="inlineStr">
        <is>
          <t>Description</t>
        </is>
      </c>
      <c r="D1" s="37" t="inlineStr">
        <is>
          <t>Language</t>
        </is>
      </c>
      <c r="E1" s="37" t="inlineStr">
        <is>
          <t>License</t>
        </is>
      </c>
      <c r="F1" s="37" t="inlineStr">
        <is>
          <t>Stars</t>
        </is>
      </c>
      <c r="G1" s="37" t="inlineStr">
        <is>
          <t>Last push</t>
        </is>
      </c>
      <c r="H1" s="37" t="inlineStr">
        <is>
          <t>Query</t>
        </is>
      </c>
      <c r="I1" s="37" t="inlineStr">
        <is>
          <t>First seen</t>
        </is>
      </c>
      <c r="J1" s="37" t="inlineStr">
        <is>
          <t>Decision</t>
        </is>
      </c>
      <c r="K1" s="37" t="inlineStr">
        <is>
          <t>Comment</t>
        </is>
      </c>
    </row>
    <row r="2">
      <c r="A2" s="18" t="inlineStr">
        <is>
          <t>qkd-simulator (HarmoniQCI)</t>
        </is>
      </c>
      <c r="B2" s="18" t="inlineStr">
        <is>
          <t>https://github.com/swtoskon33/qkd-simulator</t>
        </is>
      </c>
      <c r="C2" s="18" t="inlineStr">
        <is>
          <t>ETSI GS QKD 015 implementation: SD-QKD nodes with a YANG datastore, SD-QNC controller, dashboard, ETSI 014 towards applications and connection to existing KMEs/KMSs</t>
        </is>
      </c>
      <c r="D2" s="18" t="inlineStr">
        <is>
          <t>Python</t>
        </is>
      </c>
      <c r="I2" s="18" t="inlineStr">
        <is>
          <t>2026-10-14</t>
        </is>
      </c>
      <c r="J2" s="18" t="inlineStr">
        <is>
          <t>Added</t>
        </is>
      </c>
      <c r="K2" s="18" t="inlineStr">
        <is>
          <t>our T5.1 implementation</t>
        </is>
      </c>
    </row>
    <row r="3">
      <c r="A3" s="18" t="inlineStr">
        <is>
          <t>LUMII-Syslab/qkd-stub</t>
        </is>
      </c>
      <c r="B3" s="18" t="inlineStr">
        <is>
          <t>https://github.com/LUMII-Syslab/qkd-stub</t>
        </is>
      </c>
      <c r="C3" s="18" t="inlineStr">
        <is>
          <t>Deterministic HTTPS stub for QKD integration testing. Implements the ETSI GS QKD 014 key-delivery API using a shared PSK and SAE-bound key IDs. No inter-KME talk.</t>
        </is>
      </c>
      <c r="D3" s="18" t="inlineStr">
        <is>
          <t>Rust</t>
        </is>
      </c>
      <c r="E3" s="18" t="inlineStr">
        <is>
          <t>MIT</t>
        </is>
      </c>
      <c r="F3" s="18" t="n">
        <v>0</v>
      </c>
      <c r="G3" s="18" t="inlineStr">
        <is>
          <t>2026-10-09</t>
        </is>
      </c>
      <c r="H3" s="18" t="inlineStr">
        <is>
          <t>"ETSI GS QKD" in:name,description,readme</t>
        </is>
      </c>
      <c r="I3" s="18" t="inlineStr">
        <is>
          <t>2026-10-14</t>
        </is>
      </c>
      <c r="J3" s="18" t="inlineStr"/>
      <c r="K3" s="18" t="inlineStr"/>
    </row>
    <row r="4">
      <c r="A4" s="18" t="inlineStr">
        <is>
          <t>QOJena/etsi014_rs</t>
        </is>
      </c>
      <c r="B4" s="18" t="inlineStr">
        <is>
          <t>https://github.com/QOJena/etsi014_rs</t>
        </is>
      </c>
      <c r="C4" s="18" t="inlineStr"/>
      <c r="D4" s="18" t="inlineStr">
        <is>
          <t>Rust</t>
        </is>
      </c>
      <c r="E4" s="18" t="inlineStr">
        <is>
          <t>MIT</t>
        </is>
      </c>
      <c r="F4" s="18" t="n">
        <v>0</v>
      </c>
      <c r="G4" s="18" t="inlineStr">
        <is>
          <t>2026-10-09</t>
        </is>
      </c>
      <c r="H4" s="18" t="inlineStr">
        <is>
          <t>"ETSI GS QKD" in:name,description,readme</t>
        </is>
      </c>
      <c r="I4" s="18" t="inlineStr">
        <is>
          <t>2026-10-14</t>
        </is>
      </c>
      <c r="J4" s="18" t="inlineStr"/>
      <c r="K4" s="18" t="inlineStr"/>
    </row>
    <row r="5">
      <c r="A5" s="18" t="inlineStr">
        <is>
          <t>matteogrande/qsdn-adapter</t>
        </is>
      </c>
      <c r="B5" s="18" t="inlineStr">
        <is>
          <t>https://github.com/matteogrande/qsdn-adapter</t>
        </is>
      </c>
      <c r="C5" s="18" t="inlineStr">
        <is>
          <t>QKD Southbound Adapter for simulated SDN/ONOS and ETSI GS QKD 014 KMS orchestration.</t>
        </is>
      </c>
      <c r="D5" s="18" t="inlineStr">
        <is>
          <t>HTML</t>
        </is>
      </c>
      <c r="E5" s="18" t="inlineStr"/>
      <c r="F5" s="18" t="n">
        <v>1</v>
      </c>
      <c r="G5" s="18" t="inlineStr">
        <is>
          <t>2026-10-09</t>
        </is>
      </c>
      <c r="H5" s="18" t="inlineStr">
        <is>
          <t>"ETSI GS QKD" in:name,description,readme</t>
        </is>
      </c>
      <c r="I5" s="18" t="inlineStr">
        <is>
          <t>2026-10-14</t>
        </is>
      </c>
      <c r="J5" s="18" t="inlineStr"/>
      <c r="K5" s="18" t="inlineStr"/>
    </row>
    <row r="6">
      <c r="A6" s="18" t="inlineStr">
        <is>
          <t>JNPRAutomate/Quantum-Safe-MACsec</t>
        </is>
      </c>
      <c r="B6" s="18" t="inlineStr">
        <is>
          <t>https://github.com/JNPRAutomate/Quantum-Safe-MACsec</t>
        </is>
      </c>
      <c r="C6" s="18" t="inlineStr">
        <is>
          <t>The quantum key distribution (QKD) MACSEC script is written in python3. The script allows the JUNOS devices to fetch key material from QKD/KME and update the MACsec static CAK accordingly. The script makes use of the libraries in the "ETSI GS QKD 014 v1.1.1 - Reference Implementation" public reposit</t>
        </is>
      </c>
      <c r="D6" s="18" t="inlineStr">
        <is>
          <t>Python</t>
        </is>
      </c>
      <c r="E6" s="18" t="inlineStr">
        <is>
          <t>MIT</t>
        </is>
      </c>
      <c r="F6" s="18" t="n">
        <v>3</v>
      </c>
      <c r="G6" s="18" t="inlineStr">
        <is>
          <t>2026-10-06</t>
        </is>
      </c>
      <c r="H6" s="18" t="inlineStr">
        <is>
          <t>"ETSI GS QKD" in:name,description,readme</t>
        </is>
      </c>
      <c r="I6" s="18" t="inlineStr">
        <is>
          <t>2026-10-14</t>
        </is>
      </c>
      <c r="J6" s="18" t="inlineStr"/>
      <c r="K6" s="18" t="inlineStr"/>
    </row>
    <row r="7">
      <c r="A7" s="18" t="inlineStr">
        <is>
          <t>arnika-project/arnika</t>
        </is>
      </c>
      <c r="B7" s="18" t="inlineStr">
        <is>
          <t>https://github.com/arnika-project/arnika</t>
        </is>
      </c>
      <c r="C7" s="18" t="inlineStr">
        <is>
          <t>Arnika - Quantum secure VPN</t>
        </is>
      </c>
      <c r="D7" s="18" t="inlineStr">
        <is>
          <t>Go</t>
        </is>
      </c>
      <c r="E7" s="18" t="inlineStr">
        <is>
          <t>Apache-2.0</t>
        </is>
      </c>
      <c r="F7" s="18" t="n">
        <v>42</v>
      </c>
      <c r="G7" s="18" t="inlineStr">
        <is>
          <t>2026-10-04</t>
        </is>
      </c>
      <c r="H7" s="18" t="inlineStr">
        <is>
          <t>"ETSI GS QKD" in:name,description,readme</t>
        </is>
      </c>
      <c r="I7" s="18" t="inlineStr">
        <is>
          <t>2026-10-14</t>
        </is>
      </c>
      <c r="J7" s="18" t="inlineStr"/>
      <c r="K7" s="18" t="inlineStr"/>
    </row>
    <row r="8">
      <c r="A8" s="18" t="inlineStr">
        <is>
          <t>Rodolphe21/qkd-etsi014-poc</t>
        </is>
      </c>
      <c r="B8" s="18" t="inlineStr">
        <is>
          <t>https://github.com/Rodolphe21/qkd-etsi014-poc</t>
        </is>
      </c>
      <c r="C8" s="18" t="inlineStr">
        <is>
          <t>Wire-level analysis of the ETSI GS QKD 014 key delivery API — mTLS traces, test cases, and a Python client against a simulated QKD network</t>
        </is>
      </c>
      <c r="D8" s="18" t="inlineStr">
        <is>
          <t>Python</t>
        </is>
      </c>
      <c r="E8" s="18" t="inlineStr"/>
      <c r="F8" s="18" t="n">
        <v>1</v>
      </c>
      <c r="G8" s="18" t="inlineStr">
        <is>
          <t>2026-08-09</t>
        </is>
      </c>
      <c r="H8" s="18" t="inlineStr">
        <is>
          <t>"QKD 015" in:name,description,readme</t>
        </is>
      </c>
      <c r="I8" s="18" t="inlineStr">
        <is>
          <t>2026-10-14</t>
        </is>
      </c>
      <c r="J8" s="18" t="inlineStr"/>
      <c r="K8" s="18" t="inlineStr"/>
    </row>
    <row r="9">
      <c r="A9" s="18" t="inlineStr">
        <is>
          <t>ait-crypto/kms-sdn-agent-interface-specification</t>
        </is>
      </c>
      <c r="B9" s="18" t="inlineStr">
        <is>
          <t>https://github.com/ait-crypto/kms-sdn-agent-interface-specification</t>
        </is>
      </c>
      <c r="C9" s="18" t="inlineStr">
        <is>
          <t>QUICKS: a KMS to SDN Agent interface specification for QKDN</t>
        </is>
      </c>
      <c r="D9" s="18" t="inlineStr"/>
      <c r="E9" s="18" t="inlineStr">
        <is>
          <t>MIT</t>
        </is>
      </c>
      <c r="F9" s="18" t="n">
        <v>4</v>
      </c>
      <c r="G9" s="18" t="inlineStr">
        <is>
          <t>2026-09-17</t>
        </is>
      </c>
      <c r="H9" s="18" t="inlineStr">
        <is>
          <t>"QKD 015" in:name,description,readme</t>
        </is>
      </c>
      <c r="I9" s="18" t="inlineStr">
        <is>
          <t>2026-10-14</t>
        </is>
      </c>
      <c r="J9" s="18" t="inlineStr"/>
      <c r="K9" s="18" t="inlineStr"/>
    </row>
    <row r="10">
      <c r="A10" s="18" t="inlineStr">
        <is>
          <t>AndresRzCh/etsi-qkd-015</t>
        </is>
      </c>
      <c r="B10" s="18" t="inlineStr">
        <is>
          <t>https://github.com/AndresRzCh/etsi-qkd-015</t>
        </is>
      </c>
      <c r="C10" s="18" t="inlineStr">
        <is>
          <t>Python implementation of ETSI GS QKD 015 (SD-QKD control interface) with SDN controller, RESTCONF nodes, and full workflow support.</t>
        </is>
      </c>
      <c r="D10" s="18" t="inlineStr">
        <is>
          <t>Python</t>
        </is>
      </c>
      <c r="E10" s="18" t="inlineStr">
        <is>
          <t>MIT</t>
        </is>
      </c>
      <c r="F10" s="18" t="n">
        <v>1</v>
      </c>
      <c r="G10" s="18" t="inlineStr">
        <is>
          <t>2026-03-21</t>
        </is>
      </c>
      <c r="H10" s="18" t="inlineStr">
        <is>
          <t>"QKD 015" in:name,description,readme</t>
        </is>
      </c>
      <c r="I10" s="18" t="inlineStr">
        <is>
          <t>2026-10-14</t>
        </is>
      </c>
      <c r="J10" s="18" t="inlineStr"/>
      <c r="K10" s="18" t="inlineStr"/>
    </row>
    <row r="11">
      <c r="A11" s="18" t="inlineStr">
        <is>
          <t>sara-star-quant/perspectra-fold</t>
        </is>
      </c>
      <c r="B11" s="18" t="inlineStr">
        <is>
          <t>https://github.com/sara-star-quant/perspectra-fold</t>
        </is>
      </c>
      <c r="C11" s="18" t="inlineStr">
        <is>
          <t>Architecture and reference research for high-dimensional QKD (qudits), hybrid quantum-classical networks, and PQC alignment (ML-KEM, ML-DSA, SLH-DSA).</t>
        </is>
      </c>
      <c r="D11" s="18" t="inlineStr">
        <is>
          <t>Go</t>
        </is>
      </c>
      <c r="E11" s="18" t="inlineStr">
        <is>
          <t>Apache-2.0</t>
        </is>
      </c>
      <c r="F11" s="18" t="n">
        <v>0</v>
      </c>
      <c r="G11" s="18" t="inlineStr">
        <is>
          <t>2026-07-24</t>
        </is>
      </c>
      <c r="H11" s="18" t="inlineStr">
        <is>
          <t>"QKD 004" in:name,description,readme</t>
        </is>
      </c>
      <c r="I11" s="18" t="inlineStr">
        <is>
          <t>2026-10-14</t>
        </is>
      </c>
      <c r="J11" s="18" t="inlineStr"/>
      <c r="K11" s="18" t="inlineStr"/>
    </row>
    <row r="12">
      <c r="A12" s="18" t="inlineStr">
        <is>
          <t>Filip2142/QKDNetSim-Reserve-Aware-QoS-for-Satellite-QKD</t>
        </is>
      </c>
      <c r="B12" s="18" t="inlineStr">
        <is>
          <t>https://github.com/Filip2142/QKDNetSim-Reserve-Aware-QoS-for-Satellite-QKD</t>
        </is>
      </c>
      <c r="C12" s="18" t="inlineStr"/>
      <c r="D12" s="18" t="inlineStr">
        <is>
          <t>C++</t>
        </is>
      </c>
      <c r="E12" s="18" t="inlineStr"/>
      <c r="F12" s="18" t="n">
        <v>0</v>
      </c>
      <c r="G12" s="18" t="inlineStr">
        <is>
          <t>2026-06-01</t>
        </is>
      </c>
      <c r="H12" s="18" t="inlineStr">
        <is>
          <t>"QKD 004" in:name,description,readme</t>
        </is>
      </c>
      <c r="I12" s="18" t="inlineStr">
        <is>
          <t>2026-10-14</t>
        </is>
      </c>
      <c r="J12" s="18" t="inlineStr"/>
      <c r="K12" s="18" t="inlineStr"/>
    </row>
    <row r="13">
      <c r="A13" s="18" t="inlineStr">
        <is>
          <t>QUBIP/hybridization-module</t>
        </is>
      </c>
      <c r="B13" s="18" t="inlineStr">
        <is>
          <t>https://github.com/QUBIP/hybridization-module</t>
        </is>
      </c>
      <c r="C13" s="18" t="inlineStr">
        <is>
          <t xml:space="preserve"> Hybrid Key Exchange module combining QKD and PQC using ETSI GS QKD 004 standard. Includes TLS setup, liboqs integration, and Docker-based infrastructure..</t>
        </is>
      </c>
      <c r="D13" s="18" t="inlineStr">
        <is>
          <t>Python</t>
        </is>
      </c>
      <c r="E13" s="18" t="inlineStr">
        <is>
          <t>Apache-2.0</t>
        </is>
      </c>
      <c r="F13" s="18" t="n">
        <v>0</v>
      </c>
      <c r="G13" s="18" t="inlineStr">
        <is>
          <t>2026-05-06</t>
        </is>
      </c>
      <c r="H13" s="18" t="inlineStr">
        <is>
          <t>"QKD 004" in:name,description,readme</t>
        </is>
      </c>
      <c r="I13" s="18" t="inlineStr">
        <is>
          <t>2026-10-14</t>
        </is>
      </c>
      <c r="J13" s="18" t="inlineStr"/>
      <c r="K13" s="18" t="inlineStr"/>
    </row>
    <row r="14">
      <c r="A14" s="18" t="inlineStr">
        <is>
          <t>Qkd004/Qkd004</t>
        </is>
      </c>
      <c r="B14" s="18" t="inlineStr">
        <is>
          <t>https://github.com/Qkd004/Qkd004</t>
        </is>
      </c>
      <c r="C14" s="18" t="inlineStr"/>
      <c r="D14" s="18" t="inlineStr"/>
      <c r="E14" s="18" t="inlineStr"/>
      <c r="F14" s="18" t="n">
        <v>0</v>
      </c>
      <c r="G14" s="18" t="inlineStr">
        <is>
          <t>2025-09-25</t>
        </is>
      </c>
      <c r="H14" s="18" t="inlineStr">
        <is>
          <t>"QKD 004" in:name,description,readme</t>
        </is>
      </c>
      <c r="I14" s="18" t="inlineStr">
        <is>
          <t>2026-10-14</t>
        </is>
      </c>
      <c r="J14" s="18" t="inlineStr"/>
      <c r="K14" s="18" t="inlineStr"/>
    </row>
    <row r="15">
      <c r="A15" s="18" t="inlineStr">
        <is>
          <t>diogoftm/minimal-etsi-qkd-004</t>
        </is>
      </c>
      <c r="B15" s="18" t="inlineStr">
        <is>
          <t>https://github.com/diogoftm/minimal-etsi-qkd-004</t>
        </is>
      </c>
      <c r="C15" s="18" t="inlineStr">
        <is>
          <t xml:space="preserve">Very simple adaptation of ETSI's QKD 004 server/client (edition3) to support oblivious key requests and minimal operations for upper-layer interface testing using the server. </t>
        </is>
      </c>
      <c r="D15" s="18" t="inlineStr">
        <is>
          <t>C</t>
        </is>
      </c>
      <c r="E15" s="18" t="inlineStr">
        <is>
          <t>BSD-3-Clause</t>
        </is>
      </c>
      <c r="F15" s="18" t="n">
        <v>0</v>
      </c>
      <c r="G15" s="18" t="inlineStr">
        <is>
          <t>2025-04-01</t>
        </is>
      </c>
      <c r="H15" s="18" t="inlineStr">
        <is>
          <t>"QKD 004" in:name,description,readme</t>
        </is>
      </c>
      <c r="I15" s="18" t="inlineStr">
        <is>
          <t>2026-10-14</t>
        </is>
      </c>
      <c r="J15" s="18" t="inlineStr"/>
      <c r="K15" s="18" t="inlineStr"/>
    </row>
    <row r="16">
      <c r="A16" s="18" t="inlineStr">
        <is>
          <t>cybermerqury/etsi-gs-qkd-020-referenceimplementation</t>
        </is>
      </c>
      <c r="B16" s="18" t="inlineStr">
        <is>
          <t>https://github.com/cybermerqury/etsi-gs-qkd-020-referenceimplementation</t>
        </is>
      </c>
      <c r="C16" s="18" t="inlineStr"/>
      <c r="D16" s="18" t="inlineStr">
        <is>
          <t>Rust</t>
        </is>
      </c>
      <c r="E16" s="18" t="inlineStr">
        <is>
          <t>AGPL-3.0</t>
        </is>
      </c>
      <c r="F16" s="18" t="n">
        <v>0</v>
      </c>
      <c r="G16" s="18" t="inlineStr">
        <is>
          <t>2026-09-15</t>
        </is>
      </c>
      <c r="H16" s="18" t="inlineStr">
        <is>
          <t>"QKD 020" in:name,description,readme</t>
        </is>
      </c>
      <c r="I16" s="18" t="inlineStr">
        <is>
          <t>2026-10-14</t>
        </is>
      </c>
      <c r="J16" s="18" t="inlineStr"/>
      <c r="K16" s="18" t="inlineStr"/>
    </row>
    <row r="17">
      <c r="A17" s="18" t="inlineStr">
        <is>
          <t>adrianML7t/TFG</t>
        </is>
      </c>
      <c r="B17" s="18" t="inlineStr">
        <is>
          <t>https://github.com/adrianML7t/TFG</t>
        </is>
      </c>
      <c r="C17" s="18" t="inlineStr">
        <is>
          <t>RESTful API based on ETSI GS QKD 020</t>
        </is>
      </c>
      <c r="D17" s="18" t="inlineStr">
        <is>
          <t>Python</t>
        </is>
      </c>
      <c r="E17" s="18" t="inlineStr">
        <is>
          <t>MIT</t>
        </is>
      </c>
      <c r="F17" s="18" t="n">
        <v>1</v>
      </c>
      <c r="G17" s="18" t="inlineStr">
        <is>
          <t>2025-08-25</t>
        </is>
      </c>
      <c r="H17" s="18" t="inlineStr">
        <is>
          <t>"QKD 020" in:name,description,readme</t>
        </is>
      </c>
      <c r="I17" s="18" t="inlineStr">
        <is>
          <t>2026-10-14</t>
        </is>
      </c>
      <c r="J17" s="18" t="inlineStr"/>
      <c r="K17" s="18" t="inlineStr"/>
    </row>
    <row r="18">
      <c r="A18" s="18" t="inlineStr">
        <is>
          <t>next-door-key/qkd-trusted-node</t>
        </is>
      </c>
      <c r="B18" s="18" t="inlineStr">
        <is>
          <t>https://github.com/next-door-key/qkd-trusted-node</t>
        </is>
      </c>
      <c r="C18" s="18" t="inlineStr">
        <is>
          <t>QKD KMS system implementation that allows key sharing beyond 1 QKD link</t>
        </is>
      </c>
      <c r="D18" s="18" t="inlineStr">
        <is>
          <t>Python</t>
        </is>
      </c>
      <c r="E18" s="18" t="inlineStr">
        <is>
          <t>AGPL-3.0</t>
        </is>
      </c>
      <c r="F18" s="18" t="n">
        <v>7</v>
      </c>
      <c r="G18" s="18" t="inlineStr">
        <is>
          <t>2025-01-03</t>
        </is>
      </c>
      <c r="H18" s="18" t="inlineStr">
        <is>
          <t>"QKD 020" in:name,description,readme</t>
        </is>
      </c>
      <c r="I18" s="18" t="inlineStr">
        <is>
          <t>2026-10-14</t>
        </is>
      </c>
      <c r="J18" s="18" t="inlineStr"/>
      <c r="K18" s="18" t="inlineStr"/>
    </row>
    <row r="19">
      <c r="A19" s="18" t="inlineStr">
        <is>
          <t>josephofir/resilient-qkd-macsec</t>
        </is>
      </c>
      <c r="B19" s="18" t="inlineStr">
        <is>
          <t>https://github.com/josephofir/resilient-qkd-macsec</t>
        </is>
      </c>
      <c r="C19" s="18" t="inlineStr">
        <is>
          <t>Resilient QKD Integration with MACsec — proof-of-concept KME emulator, MKA with a QKD_Key_Id TLV, and an overhead measurement harness</t>
        </is>
      </c>
      <c r="D19" s="18" t="inlineStr">
        <is>
          <t>Python</t>
        </is>
      </c>
      <c r="E19" s="18" t="inlineStr"/>
      <c r="F19" s="18" t="n">
        <v>0</v>
      </c>
      <c r="G19" s="18" t="inlineStr">
        <is>
          <t>2026-08-21</t>
        </is>
      </c>
      <c r="H19" s="18" t="inlineStr">
        <is>
          <t>qkd kme in:name,description</t>
        </is>
      </c>
      <c r="I19" s="18" t="inlineStr">
        <is>
          <t>2026-10-14</t>
        </is>
      </c>
      <c r="J19" s="18" t="inlineStr"/>
      <c r="K19" s="18" t="inlineStr"/>
    </row>
    <row r="20">
      <c r="A20" s="18" t="inlineStr">
        <is>
          <t>John-Jepsen/qkdsec</t>
        </is>
      </c>
      <c r="B20" s="18" t="inlineStr">
        <is>
          <t>https://github.com/John-Jepsen/qkdsec</t>
        </is>
      </c>
      <c r="C20" s="18" t="inlineStr">
        <is>
          <t>A developer toolkit for Quantum Key Distribution: ETSI GS QKD 014 client (sync + async), KME conformance probe, BB84 simulation, numerical security proofs</t>
        </is>
      </c>
      <c r="D20" s="18" t="inlineStr">
        <is>
          <t>Python</t>
        </is>
      </c>
      <c r="E20" s="18" t="inlineStr"/>
      <c r="F20" s="18" t="n">
        <v>1</v>
      </c>
      <c r="G20" s="18" t="inlineStr">
        <is>
          <t>2026-07-15</t>
        </is>
      </c>
      <c r="H20" s="18" t="inlineStr">
        <is>
          <t>qkd kme in:name,description</t>
        </is>
      </c>
      <c r="I20" s="18" t="inlineStr">
        <is>
          <t>2026-10-14</t>
        </is>
      </c>
      <c r="J20" s="18" t="inlineStr"/>
      <c r="K20" s="18" t="inlineStr"/>
    </row>
    <row r="21">
      <c r="A21" s="18" t="inlineStr">
        <is>
          <t>jhhdez/qkdPlugin</t>
        </is>
      </c>
      <c r="B21" s="18" t="inlineStr">
        <is>
          <t>https://github.com/jhhdez/qkdPlugin</t>
        </is>
      </c>
      <c r="C21" s="18" t="inlineStr">
        <is>
          <t>QKD Strongswan plugin for rfc 9370 with a KME graceful-degradation mechanism.</t>
        </is>
      </c>
      <c r="D21" s="18" t="inlineStr">
        <is>
          <t>C</t>
        </is>
      </c>
      <c r="E21" s="18" t="inlineStr"/>
      <c r="F21" s="18" t="n">
        <v>0</v>
      </c>
      <c r="G21" s="18" t="inlineStr">
        <is>
          <t>2026-07-07</t>
        </is>
      </c>
      <c r="H21" s="18" t="inlineStr">
        <is>
          <t>qkd kme in:name,description</t>
        </is>
      </c>
      <c r="I21" s="18" t="inlineStr">
        <is>
          <t>2026-10-14</t>
        </is>
      </c>
      <c r="J21" s="18" t="inlineStr"/>
      <c r="K21" s="18" t="inlineStr"/>
    </row>
    <row r="22">
      <c r="A22" s="18" t="inlineStr">
        <is>
          <t>vmosescu/QKD-Infra</t>
        </is>
      </c>
      <c r="B22" s="18" t="inlineStr">
        <is>
          <t>https://github.com/vmosescu/QKD-Infra</t>
        </is>
      </c>
      <c r="C22" s="18" t="inlineStr">
        <is>
          <t>Key Management Entity (KME) Simulator</t>
        </is>
      </c>
      <c r="D22" s="18" t="inlineStr">
        <is>
          <t>Java</t>
        </is>
      </c>
      <c r="E22" s="18" t="inlineStr"/>
      <c r="F22" s="18" t="n">
        <v>0</v>
      </c>
      <c r="G22" s="18" t="inlineStr">
        <is>
          <t>2024-11-22</t>
        </is>
      </c>
      <c r="H22" s="18" t="inlineStr">
        <is>
          <t>qkd kme in:name,description</t>
        </is>
      </c>
      <c r="I22" s="18" t="inlineStr">
        <is>
          <t>2026-10-14</t>
        </is>
      </c>
      <c r="J22" s="18" t="inlineStr"/>
      <c r="K22" s="18" t="inlineStr"/>
    </row>
    <row r="23">
      <c r="A23" s="18" t="inlineStr">
        <is>
          <t>ganiganesh25/qkdnetsim-mini</t>
        </is>
      </c>
      <c r="B23" s="18" t="inlineStr">
        <is>
          <t>https://github.com/ganiganesh25/qkdnetsim-mini</t>
        </is>
      </c>
      <c r="C23" s="18" t="inlineStr">
        <is>
          <t>Minimal QKD network simulator with a Flask ETSI GS QKD 014 KMS and structured log emitters</t>
        </is>
      </c>
      <c r="D23" s="18" t="inlineStr">
        <is>
          <t>Python</t>
        </is>
      </c>
      <c r="E23" s="18" t="inlineStr">
        <is>
          <t>MIT</t>
        </is>
      </c>
      <c r="F23" s="18" t="n">
        <v>0</v>
      </c>
      <c r="G23" s="18" t="inlineStr">
        <is>
          <t>2026-08-02</t>
        </is>
      </c>
      <c r="H23" s="18" t="inlineStr">
        <is>
          <t>qkd kms in:name,description</t>
        </is>
      </c>
      <c r="I23" s="18" t="inlineStr">
        <is>
          <t>2026-10-14</t>
        </is>
      </c>
      <c r="J23" s="18" t="inlineStr"/>
      <c r="K23" s="18" t="inlineStr"/>
    </row>
    <row r="24">
      <c r="A24" s="18" t="inlineStr">
        <is>
          <t>syndpk/hybrid-pqc-qkd-kms-logs</t>
        </is>
      </c>
      <c r="B24" s="18" t="inlineStr">
        <is>
          <t>https://github.com/syndpk/hybrid-pqc-qkd-kms-logs</t>
        </is>
      </c>
      <c r="C24" s="18" t="inlineStr">
        <is>
          <t>Structured JSON-line logs from the Key Management System (KMS) of a deployed hybrid Post-Quantum Cryptography (PQC) and Quantum Key Distribution (QKD) pilot, including key-delivery, VPN-transfer, QKD-pool, and application telemetry.</t>
        </is>
      </c>
      <c r="D24" s="18" t="inlineStr"/>
      <c r="E24" s="18" t="inlineStr"/>
      <c r="F24" s="18" t="n">
        <v>0</v>
      </c>
      <c r="G24" s="18" t="inlineStr">
        <is>
          <t>2026-05-27</t>
        </is>
      </c>
      <c r="H24" s="18" t="inlineStr">
        <is>
          <t>qkd kms in:name,description</t>
        </is>
      </c>
      <c r="I24" s="18" t="inlineStr">
        <is>
          <t>2026-10-14</t>
        </is>
      </c>
      <c r="J24" s="18" t="inlineStr"/>
      <c r="K24" s="18" t="inlineStr"/>
    </row>
    <row r="25">
      <c r="A25" s="18" t="inlineStr">
        <is>
          <t>LUMII-Syslab/sgx-qkms</t>
        </is>
      </c>
      <c r="B25" s="18" t="inlineStr">
        <is>
          <t>https://github.com/LUMII-Syslab/sgx-qkms</t>
        </is>
      </c>
      <c r="C25" s="18" t="inlineStr">
        <is>
          <t>Intel SGX protected Q-KMS. Remotely-attested OTP key relaying in QKD networks. ETSI GS QKD 014 API.</t>
        </is>
      </c>
      <c r="D25" s="18" t="inlineStr">
        <is>
          <t>Rust</t>
        </is>
      </c>
      <c r="E25" s="18" t="inlineStr">
        <is>
          <t>MPL-2.0</t>
        </is>
      </c>
      <c r="F25" s="18" t="n">
        <v>0</v>
      </c>
      <c r="G25" s="18" t="inlineStr">
        <is>
          <t>2026-02-26</t>
        </is>
      </c>
      <c r="H25" s="18" t="inlineStr">
        <is>
          <t>qkd kms in:name,description</t>
        </is>
      </c>
      <c r="I25" s="18" t="inlineStr">
        <is>
          <t>2026-10-14</t>
        </is>
      </c>
      <c r="J25" s="18" t="inlineStr"/>
      <c r="K25" s="18" t="inlineStr"/>
    </row>
    <row r="26">
      <c r="A26" s="18" t="inlineStr">
        <is>
          <t>cyriltan/QKDFileEncryptApp</t>
        </is>
      </c>
      <c r="B26" s="18" t="inlineStr">
        <is>
          <t>https://github.com/cyriltan/QKDFileEncryptApp</t>
        </is>
      </c>
      <c r="C26" s="18" t="inlineStr">
        <is>
          <t>This code seeks to demonstrate how one can pull QKD keys from the Toshiba KMS emulator using ETSI GS QKD 014 interface and using the keys to encrypt a file. It further demonstrates how one can generate a digital signature on the encrypted file using PQC algorithm ML-DSA.</t>
        </is>
      </c>
      <c r="D26" s="18" t="inlineStr">
        <is>
          <t>Python</t>
        </is>
      </c>
      <c r="E26" s="18" t="inlineStr"/>
      <c r="F26" s="18" t="n">
        <v>0</v>
      </c>
      <c r="G26" s="18" t="inlineStr">
        <is>
          <t>2025-10-09</t>
        </is>
      </c>
      <c r="H26" s="18" t="inlineStr">
        <is>
          <t>qkd kms in:name,description</t>
        </is>
      </c>
      <c r="I26" s="18" t="inlineStr">
        <is>
          <t>2026-10-14</t>
        </is>
      </c>
      <c r="J26" s="18" t="inlineStr"/>
      <c r="K26" s="18" t="inlineStr"/>
    </row>
    <row r="27">
      <c r="A27" s="18" t="inlineStr">
        <is>
          <t>SAMIYE/QKD-Interoperable-KMS-API</t>
        </is>
      </c>
      <c r="B27" s="18" t="inlineStr">
        <is>
          <t>https://github.com/SAMIYE/QKD-Interoperable-KMS-API</t>
        </is>
      </c>
      <c r="C27" s="18" t="inlineStr"/>
      <c r="D27" s="18" t="inlineStr">
        <is>
          <t>Python</t>
        </is>
      </c>
      <c r="E27" s="18" t="inlineStr"/>
      <c r="F27" s="18" t="n">
        <v>0</v>
      </c>
      <c r="G27" s="18" t="inlineStr">
        <is>
          <t>2025-04-01</t>
        </is>
      </c>
      <c r="H27" s="18" t="inlineStr">
        <is>
          <t>qkd kms in:name,description</t>
        </is>
      </c>
      <c r="I27" s="18" t="inlineStr">
        <is>
          <t>2026-10-14</t>
        </is>
      </c>
      <c r="J27" s="18" t="inlineStr"/>
      <c r="K27" s="18" t="inlineStr"/>
    </row>
    <row r="28">
      <c r="A28" s="18" t="inlineStr">
        <is>
          <t>ikiu99/qkd-sdn-graded-containment</t>
        </is>
      </c>
      <c r="B28" s="18" t="inlineStr">
        <is>
          <t>https://github.com/ikiu99/qkd-sdn-graded-containment</t>
        </is>
      </c>
      <c r="C28" s="18" t="inlineStr">
        <is>
          <t>Graded detection and containment of compromised trusted relays in software-defined QKD networks: simulator, sweeps and the results behind the paper</t>
        </is>
      </c>
      <c r="D28" s="18" t="inlineStr">
        <is>
          <t>Python</t>
        </is>
      </c>
      <c r="E28" s="18" t="inlineStr">
        <is>
          <t>MIT</t>
        </is>
      </c>
      <c r="F28" s="18" t="n">
        <v>0</v>
      </c>
      <c r="G28" s="18" t="inlineStr">
        <is>
          <t>2026-09-20</t>
        </is>
      </c>
      <c r="H28" s="18" t="inlineStr">
        <is>
          <t>qkd sdn in:name,description</t>
        </is>
      </c>
      <c r="I28" s="18" t="inlineStr">
        <is>
          <t>2026-10-14</t>
        </is>
      </c>
      <c r="J28" s="18" t="inlineStr"/>
      <c r="K28" s="18" t="inlineStr"/>
    </row>
    <row r="29">
      <c r="A29" s="18" t="inlineStr">
        <is>
          <t>Andryd22/SDN-QKD</t>
        </is>
      </c>
      <c r="B29" s="18" t="inlineStr">
        <is>
          <t>https://github.com/Andryd22/SDN-QKD</t>
        </is>
      </c>
      <c r="C29" s="18" t="inlineStr">
        <is>
          <t>Implementation of an SDN-enhanced digital twin for QKD networks</t>
        </is>
      </c>
      <c r="D29" s="18" t="inlineStr">
        <is>
          <t>Java</t>
        </is>
      </c>
      <c r="E29" s="18" t="inlineStr">
        <is>
          <t>Apache-2.0</t>
        </is>
      </c>
      <c r="F29" s="18" t="n">
        <v>1</v>
      </c>
      <c r="G29" s="18" t="inlineStr">
        <is>
          <t>2026-04-15</t>
        </is>
      </c>
      <c r="H29" s="18" t="inlineStr">
        <is>
          <t>qkd sdn in:name,description</t>
        </is>
      </c>
      <c r="I29" s="18" t="inlineStr">
        <is>
          <t>2026-10-14</t>
        </is>
      </c>
      <c r="J29" s="18" t="inlineStr"/>
      <c r="K29" s="18" t="inlineStr"/>
    </row>
    <row r="30">
      <c r="A30" s="18" t="inlineStr">
        <is>
          <t>raied11/RAIED</t>
        </is>
      </c>
      <c r="B30" s="18" t="inlineStr">
        <is>
          <t>https://github.com/raied11/RAIED</t>
        </is>
      </c>
      <c r="C30" s="18" t="inlineStr">
        <is>
          <t>Personal projects and hands-on experiments covering IoT, SDN, Raspberry Pi, Arduino, QKD, security, and cybersecurity.</t>
        </is>
      </c>
      <c r="D30" s="18" t="inlineStr"/>
      <c r="E30" s="18" t="inlineStr"/>
      <c r="F30" s="18" t="n">
        <v>0</v>
      </c>
      <c r="G30" s="18" t="inlineStr">
        <is>
          <t>2026-01-22</t>
        </is>
      </c>
      <c r="H30" s="18" t="inlineStr">
        <is>
          <t>qkd sdn in:name,description</t>
        </is>
      </c>
      <c r="I30" s="18" t="inlineStr">
        <is>
          <t>2026-10-14</t>
        </is>
      </c>
      <c r="J30" s="18" t="inlineStr"/>
      <c r="K30" s="18" t="inlineStr"/>
    </row>
    <row r="31">
      <c r="A31" s="18" t="inlineStr">
        <is>
          <t>gianniniluca/Containerize-onos-controller</t>
        </is>
      </c>
      <c r="B31" s="18" t="inlineStr">
        <is>
          <t>https://github.com/gianniniluca/Containerize-onos-controller</t>
        </is>
      </c>
      <c r="C31" s="18" t="inlineStr">
        <is>
          <t xml:space="preserve">A containerized SDN controller for QKD networks: The objective of this repo is to containerize the ONOS controller within a Docker environment using a recent Linux distribution and to demonstrate its functionality through simple applications. </t>
        </is>
      </c>
      <c r="D31" s="18" t="inlineStr">
        <is>
          <t>Java</t>
        </is>
      </c>
      <c r="E31" s="18" t="inlineStr">
        <is>
          <t>Apache-2.0</t>
        </is>
      </c>
      <c r="F31" s="18" t="n">
        <v>0</v>
      </c>
      <c r="G31" s="18" t="inlineStr">
        <is>
          <t>2025-10-13</t>
        </is>
      </c>
      <c r="H31" s="18" t="inlineStr">
        <is>
          <t>qkd sdn in:name,description</t>
        </is>
      </c>
      <c r="I31" s="18" t="inlineStr">
        <is>
          <t>2026-10-14</t>
        </is>
      </c>
      <c r="J31" s="18" t="inlineStr"/>
      <c r="K31" s="18" t="inlineStr"/>
    </row>
    <row r="32">
      <c r="A32" s="18" t="inlineStr">
        <is>
          <t>Abbey-12/qkd-sdn-api</t>
        </is>
      </c>
      <c r="B32" s="18" t="inlineStr">
        <is>
          <t>https://github.com/Abbey-12/qkd-sdn-api</t>
        </is>
      </c>
      <c r="C32" s="18" t="inlineStr"/>
      <c r="D32" s="18" t="inlineStr">
        <is>
          <t>Python</t>
        </is>
      </c>
      <c r="E32" s="18" t="inlineStr">
        <is>
          <t>BSD-3-Clause</t>
        </is>
      </c>
      <c r="F32" s="18" t="n">
        <v>0</v>
      </c>
      <c r="G32" s="18" t="inlineStr">
        <is>
          <t>2025-03-21</t>
        </is>
      </c>
      <c r="H32" s="18" t="inlineStr">
        <is>
          <t>qkd sdn in:name,description</t>
        </is>
      </c>
      <c r="I32" s="18" t="inlineStr">
        <is>
          <t>2026-10-14</t>
        </is>
      </c>
      <c r="J32" s="18" t="inlineStr"/>
      <c r="K32" s="18" t="inlineStr"/>
    </row>
    <row r="33">
      <c r="A33" s="18" t="inlineStr">
        <is>
          <t>sajjanmdb123-cmd/SeQUeNCe_BB84_LM05_Comparison</t>
        </is>
      </c>
      <c r="B33" s="18" t="inlineStr">
        <is>
          <t>https://github.com/sajjanmdb123-cmd/SeQUeNCe_BB84_LM05_Comparison</t>
        </is>
      </c>
      <c r="C33" s="18" t="inlineStr">
        <is>
          <t>A Python-based comparison of BB84 and LM05 quantum key distribution protocols using the SeQUeNCe quantum network simulator.</t>
        </is>
      </c>
      <c r="D33" s="18" t="inlineStr">
        <is>
          <t>Jupyter Notebook</t>
        </is>
      </c>
      <c r="E33" s="18" t="inlineStr"/>
      <c r="F33" s="18" t="n">
        <v>0</v>
      </c>
      <c r="G33" s="18" t="inlineStr">
        <is>
          <t>2026-09-12</t>
        </is>
      </c>
      <c r="H33" s="18" t="inlineStr">
        <is>
          <t>quantum key distribution network simulator in:name,description</t>
        </is>
      </c>
      <c r="I33" s="18" t="inlineStr">
        <is>
          <t>2026-10-14</t>
        </is>
      </c>
      <c r="J33" s="18" t="inlineStr"/>
      <c r="K33" s="18" t="inlineStr"/>
    </row>
    <row r="34">
      <c r="A34" s="18" t="inlineStr">
        <is>
          <t>qurbanaliq/qkdSim</t>
        </is>
      </c>
      <c r="B34" s="18" t="inlineStr">
        <is>
          <t>https://github.com/qurbanaliq/qkdSim</t>
        </is>
      </c>
      <c r="C34" s="18" t="inlineStr">
        <is>
          <t>Quantum Key Distribution network simulator, it was part of my university thesis on Trust Relay based Quantum Key Distribution, showing that the existing routing scheme at the time had significant packet loss, where as my scheme reduced the packet loss significantly.</t>
        </is>
      </c>
      <c r="D34" s="18" t="inlineStr">
        <is>
          <t>Python</t>
        </is>
      </c>
      <c r="E34" s="18" t="inlineStr"/>
      <c r="F34" s="18" t="n">
        <v>0</v>
      </c>
      <c r="G34" s="18" t="inlineStr">
        <is>
          <t>2025-05-27</t>
        </is>
      </c>
      <c r="H34" s="18" t="inlineStr">
        <is>
          <t>quantum key distribution network simulator in:name,description</t>
        </is>
      </c>
      <c r="I34" s="18" t="inlineStr">
        <is>
          <t>2026-10-14</t>
        </is>
      </c>
      <c r="J34" s="18" t="inlineStr"/>
      <c r="K34" s="18" t="inlineStr"/>
    </row>
    <row r="35">
      <c r="A35" s="18" t="inlineStr">
        <is>
          <t>Vishnupriya-saji/Sequence---Quantum-Mechanics-simulator</t>
        </is>
      </c>
      <c r="B35" s="18" t="inlineStr">
        <is>
          <t>https://github.com/Vishnupriya-saji/Sequence---Quantum-Mechanics-simulator</t>
        </is>
      </c>
      <c r="C35" s="18" t="inlineStr">
        <is>
          <t>🧪 SeQUeNCe is a quantum network simulator designed to model and test quantum communication protocols like entanglement distribution and quantum key exchange.</t>
        </is>
      </c>
      <c r="D35" s="18" t="inlineStr">
        <is>
          <t>Makefile</t>
        </is>
      </c>
      <c r="E35" s="18" t="inlineStr"/>
      <c r="F35" s="18" t="n">
        <v>0</v>
      </c>
      <c r="G35" s="18" t="inlineStr">
        <is>
          <t>2024-10-30</t>
        </is>
      </c>
      <c r="H35" s="18" t="inlineStr">
        <is>
          <t>quantum key distribution network simulator in:name,description</t>
        </is>
      </c>
      <c r="I35" s="18" t="inlineStr">
        <is>
          <t>2026-10-14</t>
        </is>
      </c>
      <c r="J35" s="18" t="inlineStr"/>
      <c r="K35" s="18" t="inlineStr"/>
    </row>
    <row r="36">
      <c r="A36" s="18" t="inlineStr">
        <is>
          <t>Peti0918/SatelliteCommunication</t>
        </is>
      </c>
      <c r="B36" s="18" t="inlineStr">
        <is>
          <t>https://github.com/Peti0918/SatelliteCommunication</t>
        </is>
      </c>
      <c r="C36" s="18" t="inlineStr">
        <is>
          <t>Python simulator for modeling and visualizing time-varying satellite quantum communication and QKD networks.</t>
        </is>
      </c>
      <c r="D36" s="18" t="inlineStr">
        <is>
          <t>Python</t>
        </is>
      </c>
      <c r="E36" s="18" t="inlineStr"/>
      <c r="F36" s="18" t="n">
        <v>0</v>
      </c>
      <c r="G36" s="18" t="inlineStr">
        <is>
          <t>2026-09-07</t>
        </is>
      </c>
      <c r="H36" s="18" t="inlineStr">
        <is>
          <t>topic:qkd</t>
        </is>
      </c>
      <c r="I36" s="18" t="inlineStr">
        <is>
          <t>2026-10-14</t>
        </is>
      </c>
      <c r="J36" s="18" t="inlineStr"/>
      <c r="K36" s="18" t="inlineStr"/>
    </row>
    <row r="37">
      <c r="A37" s="18" t="inlineStr">
        <is>
          <t>api-evangelist/aliro-quantum</t>
        </is>
      </c>
      <c r="B37" s="18" t="inlineStr">
        <is>
          <t>https://github.com/api-evangelist/aliro-quantum</t>
        </is>
      </c>
      <c r="C37" s="18" t="inlineStr">
        <is>
          <t>Aliro Quantum — independent third-party profile of a public API surface, by API Evangelist. Aliro Quantum (branded "Aliro, The Quantum Networking Company") is a Boston-based, Harvard spin-out building full-stack software for entanglement-based quantum networks. Its platform unifies three core produc</t>
        </is>
      </c>
      <c r="D37" s="18" t="inlineStr"/>
      <c r="E37" s="18" t="inlineStr"/>
      <c r="F37" s="18" t="n">
        <v>0</v>
      </c>
      <c r="G37" s="18" t="inlineStr">
        <is>
          <t>2026-10-04</t>
        </is>
      </c>
      <c r="H37" s="18" t="inlineStr">
        <is>
          <t>topic:quantum-key-distribution</t>
        </is>
      </c>
      <c r="I37" s="18" t="inlineStr">
        <is>
          <t>2026-10-14</t>
        </is>
      </c>
      <c r="J37" s="18" t="inlineStr"/>
      <c r="K37" s="18" t="inlineStr"/>
    </row>
    <row r="38">
      <c r="A38" s="18" t="inlineStr">
        <is>
          <t>hamamh66/FreeEnergy-QKD-PQC-STIN</t>
        </is>
      </c>
      <c r="B38" s="18" t="inlineStr">
        <is>
          <t>https://github.com/hamamh66/FreeEnergy-QKD-PQC-STIN</t>
        </is>
      </c>
      <c r="C38" s="18" t="inlineStr">
        <is>
          <t>Reproducible simulation for free-energy-based stability and secure resource orchestration in hybrid QKD–PQC satellite–terrestrial networks: SCI/SDI indices, seven allocation methods, 30-seed stress scenarios, ablation and sensitivity analysis.</t>
        </is>
      </c>
      <c r="D38" s="18" t="inlineStr">
        <is>
          <t>Jupyter Notebook</t>
        </is>
      </c>
      <c r="E38" s="18" t="inlineStr">
        <is>
          <t>MIT</t>
        </is>
      </c>
      <c r="F38" s="18" t="n">
        <v>0</v>
      </c>
      <c r="G38" s="18" t="inlineStr">
        <is>
          <t>2026-10-01</t>
        </is>
      </c>
      <c r="H38" s="18" t="inlineStr">
        <is>
          <t>topic:quantum-key-distribution</t>
        </is>
      </c>
      <c r="I38" s="18" t="inlineStr">
        <is>
          <t>2026-10-14</t>
        </is>
      </c>
      <c r="J38" s="18" t="inlineStr"/>
      <c r="K38" s="1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sheetData>
    <row r="1">
      <c r="A1" s="37" t="inlineStr">
        <is>
          <t>Date</t>
        </is>
      </c>
      <c r="B1" s="37" t="inlineStr">
        <is>
          <t>Tool</t>
        </is>
      </c>
      <c r="C1" s="37" t="inlineStr">
        <is>
          <t>Field</t>
        </is>
      </c>
      <c r="D1" s="37" t="inlineStr">
        <is>
          <t>Old value</t>
        </is>
      </c>
      <c r="E1" s="37" t="inlineStr">
        <is>
          <t>New value</t>
        </is>
      </c>
    </row>
    <row r="2">
      <c r="A2" s="18" t="inlineStr">
        <is>
          <t>2026-10-14</t>
        </is>
      </c>
      <c r="B2" s="18" t="inlineStr">
        <is>
          <t>qkd_kme_server</t>
        </is>
      </c>
      <c r="C2" s="18" t="inlineStr">
        <is>
          <t>Last commit</t>
        </is>
      </c>
      <c r="D2" s="18" t="inlineStr">
        <is>
          <t>2026-04-01</t>
        </is>
      </c>
      <c r="E2" s="18" t="inlineStr">
        <is>
          <t>2026-09-27</t>
        </is>
      </c>
    </row>
    <row r="3">
      <c r="A3" s="18" t="inlineStr">
        <is>
          <t>2026-10-14</t>
        </is>
      </c>
      <c r="B3" s="18" t="inlineStr">
        <is>
          <t>QUBIP etsi-qkd-004</t>
        </is>
      </c>
      <c r="C3" s="18" t="inlineStr">
        <is>
          <t>Docker</t>
        </is>
      </c>
      <c r="D3" s="18" t="inlineStr">
        <is>
          <t>To be checked</t>
        </is>
      </c>
      <c r="E3" s="18" t="inlineStr">
        <is>
          <t>Yes</t>
        </is>
      </c>
    </row>
    <row r="4">
      <c r="A4" s="18" t="inlineStr">
        <is>
          <t>2026-10-14</t>
        </is>
      </c>
      <c r="B4" s="18" t="inlineStr">
        <is>
          <t>QKDNetSim v2.0</t>
        </is>
      </c>
      <c r="C4" s="18" t="inlineStr">
        <is>
          <t>Last commit</t>
        </is>
      </c>
      <c r="D4" s="18" t="inlineStr">
        <is>
          <t>2026-09-04</t>
        </is>
      </c>
      <c r="E4" s="18" t="inlineStr">
        <is>
          <t>2026-10-08</t>
        </is>
      </c>
    </row>
    <row r="5">
      <c r="A5" s="18" t="inlineStr">
        <is>
          <t>2026-10-14</t>
        </is>
      </c>
      <c r="B5" s="18" t="inlineStr">
        <is>
          <t>SeQUeNCe</t>
        </is>
      </c>
      <c r="C5" s="18" t="inlineStr">
        <is>
          <t>Last commit</t>
        </is>
      </c>
      <c r="D5" s="18" t="inlineStr">
        <is>
          <t>2026-09-13</t>
        </is>
      </c>
      <c r="E5" s="18" t="inlineStr">
        <is>
          <t>2026-10-13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2026-09-21T17:43:07Z</dcterms:created>
  <dcterms:modified xsi:type="dcterms:W3CDTF">2026-10-14T10:17:02Z</dcterms:modified>
  <cp:revision>0</cp:revision>
</cp:coreProperties>
</file>