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ool map" sheetId="1" state="visible" r:id="rId1"/>
    <sheet name="Criteria" sheetId="2" state="visible" r:id="rId2"/>
    <sheet name="Scoring" sheetId="3" state="visible" r:id="rId3"/>
    <sheet name="Candidates" sheetId="4" state="visible" r:id="rId4"/>
    <sheet name="Changes" sheetId="5" state="visible" r:id="rId5"/>
  </sheets>
  <definedNames>
    <definedName name="_xlnm._FilterDatabase" localSheetId="0" hidden="1">'Tool map'!$A$1:$R$16</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color rgb="FF0563C1"/>
      <sz val="10"/>
      <u val="single"/>
    </font>
    <font>
      <name val="Arial"/>
      <charset val="1"/>
      <family val="0"/>
      <i val="1"/>
      <sz val="9"/>
    </font>
    <font>
      <name val="Arial"/>
      <charset val="1"/>
      <family val="0"/>
      <color rgb="FF0000FF"/>
      <sz val="10"/>
    </font>
    <font>
      <name val="Arial"/>
      <charset val="1"/>
      <family val="0"/>
      <b val="1"/>
      <sz val="10"/>
    </font>
    <font>
      <b val="1"/>
    </font>
  </fonts>
  <fills count="9">
    <fill>
      <patternFill/>
    </fill>
    <fill>
      <patternFill patternType="gray125"/>
    </fill>
    <fill>
      <patternFill patternType="solid">
        <fgColor rgb="FF1F3864"/>
        <bgColor rgb="FF333333"/>
      </patternFill>
    </fill>
    <fill>
      <patternFill patternType="solid">
        <fgColor rgb="FFDDEBF7"/>
        <bgColor rgb="FFE2EFDA"/>
      </patternFill>
    </fill>
    <fill>
      <patternFill patternType="solid">
        <fgColor rgb="FFE2EFDA"/>
        <bgColor rgb="FFDDEBF7"/>
      </patternFill>
    </fill>
    <fill>
      <patternFill patternType="solid">
        <fgColor rgb="FFFCE4D6"/>
        <bgColor rgb="FFFFF2CC"/>
      </patternFill>
    </fill>
    <fill>
      <patternFill patternType="solid">
        <fgColor rgb="FFEDE2F6"/>
        <bgColor rgb="FFDDEBF7"/>
      </patternFill>
    </fill>
    <fill>
      <patternFill patternType="solid">
        <fgColor rgb="FFF2F2F2"/>
        <bgColor rgb="FFE2EFDA"/>
      </patternFill>
    </fill>
    <fill>
      <patternFill patternType="solid">
        <fgColor rgb="FFFFF2CC"/>
        <bgColor rgb="FFFCE4D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8">
    <xf numFmtId="0" fontId="0" fillId="0" borderId="0" applyAlignment="1" pivotButton="0" quotePrefix="0" xfId="0">
      <alignment horizontal="general" vertical="bottom"/>
    </xf>
    <xf numFmtId="0" fontId="4"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5" fillId="6" borderId="1" applyAlignment="1" pivotButton="0" quotePrefix="0" xfId="0">
      <alignment horizontal="general" vertical="top" wrapText="1"/>
    </xf>
    <xf numFmtId="0" fontId="5" fillId="7" borderId="1" applyAlignment="1" pivotButton="0" quotePrefix="0" xfId="0">
      <alignment horizontal="general" vertical="top" wrapText="1"/>
    </xf>
    <xf numFmtId="0" fontId="5" fillId="8" borderId="1" applyAlignment="1" pivotButton="0" quotePrefix="0" xfId="0">
      <alignment horizontal="general" vertical="top" wrapText="1"/>
    </xf>
    <xf numFmtId="0" fontId="7" fillId="0" borderId="0" applyAlignment="1" pivotButton="0" quotePrefix="0" xfId="0">
      <alignment horizontal="general" vertical="bottom"/>
    </xf>
    <xf numFmtId="0" fontId="4" fillId="2" borderId="1" applyAlignment="1" pivotButton="0" quotePrefix="0" xfId="0">
      <alignment horizontal="general" vertical="bottom"/>
    </xf>
    <xf numFmtId="9" fontId="8" fillId="8" borderId="1" applyAlignment="1" pivotButton="0" quotePrefix="0" xfId="0">
      <alignment horizontal="general" vertical="top" wrapText="1"/>
    </xf>
    <xf numFmtId="0" fontId="9" fillId="0" borderId="1" applyAlignment="1" pivotButton="0" quotePrefix="0" xfId="0">
      <alignment horizontal="general" vertical="top" wrapText="1"/>
    </xf>
    <xf numFmtId="9" fontId="9" fillId="0" borderId="1" applyAlignment="1" pivotButton="0" quotePrefix="0" xfId="0">
      <alignment horizontal="general" vertical="top" wrapText="1"/>
    </xf>
    <xf numFmtId="0" fontId="5" fillId="0" borderId="1" applyAlignment="1" pivotButton="0" quotePrefix="0" xfId="0">
      <alignment horizontal="general" vertical="bottom"/>
    </xf>
    <xf numFmtId="0" fontId="8" fillId="8" borderId="1" applyAlignment="1" pivotButton="0" quotePrefix="0" xfId="0">
      <alignment horizontal="center" vertical="bottom"/>
    </xf>
    <xf numFmtId="2" fontId="9"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5" fillId="6" borderId="1" applyAlignment="1" pivotButton="0" quotePrefix="0" xfId="0">
      <alignment horizontal="general" vertical="top" wrapText="1"/>
    </xf>
    <xf numFmtId="0" fontId="5" fillId="7" borderId="1" applyAlignment="1" pivotButton="0" quotePrefix="0" xfId="0">
      <alignment horizontal="general" vertical="top" wrapText="1"/>
    </xf>
    <xf numFmtId="0" fontId="5" fillId="8" borderId="1" applyAlignment="1" pivotButton="0" quotePrefix="0" xfId="0">
      <alignment horizontal="general" vertical="top" wrapText="1"/>
    </xf>
    <xf numFmtId="0" fontId="7" fillId="0" borderId="0" applyAlignment="1" pivotButton="0" quotePrefix="0" xfId="0">
      <alignment horizontal="general" vertical="bottom"/>
    </xf>
    <xf numFmtId="0" fontId="4" fillId="2" borderId="1" applyAlignment="1" pivotButton="0" quotePrefix="0" xfId="0">
      <alignment horizontal="general" vertical="bottom"/>
    </xf>
    <xf numFmtId="9" fontId="8" fillId="8" borderId="1" applyAlignment="1" pivotButton="0" quotePrefix="0" xfId="0">
      <alignment horizontal="general" vertical="top" wrapText="1"/>
    </xf>
    <xf numFmtId="0" fontId="9" fillId="0" borderId="1" applyAlignment="1" pivotButton="0" quotePrefix="0" xfId="0">
      <alignment horizontal="general" vertical="top" wrapText="1"/>
    </xf>
    <xf numFmtId="9" fontId="9" fillId="0" borderId="1" applyAlignment="1" pivotButton="0" quotePrefix="0" xfId="0">
      <alignment horizontal="general" vertical="top" wrapText="1"/>
    </xf>
    <xf numFmtId="0" fontId="5" fillId="0" borderId="1" applyAlignment="1" pivotButton="0" quotePrefix="0" xfId="0">
      <alignment horizontal="general" vertical="bottom"/>
    </xf>
    <xf numFmtId="0" fontId="8" fillId="8" borderId="1" applyAlignment="1" pivotButton="0" quotePrefix="0" xfId="0">
      <alignment horizontal="center" vertical="bottom"/>
    </xf>
    <xf numFmtId="2" fontId="9" fillId="0" borderId="1" applyAlignment="1" pivotButton="0" quotePrefix="0" xfId="0">
      <alignment horizontal="general" vertical="bottom"/>
    </xf>
    <xf numFmtId="0" fontId="1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DE2F6"/>
          <bgColor rgb="FF000000"/>
        </patternFill>
      </fill>
    </dxf>
    <dxf>
      <fill>
        <patternFill patternType="solid">
          <fgColor rgb="FFF2F2F2"/>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563C1"/>
      <rgbColor rgb="FFEDE2F6"/>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github.com/CreepPork/next-door-key-simulator" TargetMode="External" Id="rId1" /><Relationship Type="http://schemas.openxmlformats.org/officeDocument/2006/relationships/hyperlink" Target="https://github.com/cybermerqury/etsi-gs-qkd-014-referenceimplementation" TargetMode="External" Id="rId2" /><Relationship Type="http://schemas.openxmlformats.org/officeDocument/2006/relationships/hyperlink" Target="https://github.com/thomasarmel/qkd_kme_server" TargetMode="External" Id="rId3" /><Relationship Type="http://schemas.openxmlformats.org/officeDocument/2006/relationships/hyperlink" Target="https://github.com/QUBIP/etsi-qkd-004" TargetMode="External" Id="rId4" /><Relationship Type="http://schemas.openxmlformats.org/officeDocument/2006/relationships/hyperlink" Target="https://github.com/QKDNetSim/qkdnetsim" TargetMode="External" Id="rId5" /><Relationship Type="http://schemas.openxmlformats.org/officeDocument/2006/relationships/hyperlink" Target="https://github.com/Open-QKD-Network/qkd-net" TargetMode="External" Id="rId6" /><Relationship Type="http://schemas.openxmlformats.org/officeDocument/2006/relationships/hyperlink" Target="https://github.com/sequence-toolbox/SeQUeNCe" TargetMode="External" Id="rId7" /><Relationship Type="http://schemas.openxmlformats.org/officeDocument/2006/relationships/hyperlink" Target="https://github.com/tqsd/QuNetSim" TargetMode="External" Id="rId8" /><Relationship Type="http://schemas.openxmlformats.org/officeDocument/2006/relationships/hyperlink" Target="https://github.com/SoftwareQuTech/SimulaQron" TargetMode="External" Id="rId9" /><Relationship Type="http://schemas.openxmlformats.org/officeDocument/2006/relationships/hyperlink" Target="https://github.com/kappall/kms-sdn-agent-interface-specification" TargetMode="External" Id="rId10" /><Relationship Type="http://schemas.openxmlformats.org/officeDocument/2006/relationships/hyperlink" Target="https://github.com/ait-crypto/etsi-gs-qkd-004-push-mode-API-specification" TargetMode="External" Id="rId11" /><Relationship Type="http://schemas.openxmlformats.org/officeDocument/2006/relationships/hyperlink" Target="https://github.com/qursa-uc3m/qkd-etsi-api-c-wrapper" TargetMode="External" Id="rId12" /><Relationship Type="http://schemas.openxmlformats.org/officeDocument/2006/relationships/hyperlink" Target="https://qukaydee.com/" TargetMode="External" Id="rId13" /><Relationship Type="http://schemas.openxmlformats.org/officeDocument/2006/relationships/hyperlink" Target="https://netsquid.org/" TargetMode="External" Id="rId14" /></Relationships>
</file>

<file path=xl/worksheets/sheet1.xml><?xml version="1.0" encoding="utf-8"?>
<worksheet xmlns="http://schemas.openxmlformats.org/spreadsheetml/2006/main">
  <sheetPr filterMode="0">
    <outlinePr summaryBelow="1" summaryRight="1"/>
    <pageSetUpPr fitToPage="0"/>
  </sheetPr>
  <dimension ref="A1:R18"/>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4" customWidth="1" style="18" min="1" max="1"/>
    <col width="24" customWidth="1" style="18" min="2" max="2"/>
    <col width="40" customWidth="1" style="18" min="3" max="3"/>
    <col width="22" customWidth="1" style="18" min="4" max="4"/>
    <col width="48" customWidth="1" style="18" min="5" max="5"/>
    <col width="12" customWidth="1" style="18" min="6" max="6"/>
    <col width="16" customWidth="1" style="18" min="7" max="7"/>
    <col width="20" customWidth="1" style="18" min="8" max="8"/>
    <col width="13" customWidth="1" style="18" min="9" max="9"/>
    <col width="9" customWidth="1" style="18" min="10" max="10"/>
    <col width="16" customWidth="1" style="18" min="11" max="11"/>
    <col width="55" customWidth="1" style="18" min="12" max="12"/>
    <col width="12" customWidth="1" style="18" min="13" max="13"/>
    <col width="18" customWidth="1" style="19" min="14" max="14"/>
    <col width="18" customWidth="1" style="19" min="15" max="15"/>
    <col width="18" customWidth="1" style="19" min="16" max="16"/>
    <col width="18" customWidth="1" style="19" min="17" max="17"/>
    <col width="18" customWidth="1" style="19" min="18" max="18"/>
  </cols>
  <sheetData>
    <row r="1" ht="35.05" customHeight="1" s="19">
      <c r="A1" s="20" t="inlineStr">
        <is>
          <t>#</t>
        </is>
      </c>
      <c r="B1" s="20" t="inlineStr">
        <is>
          <t>Tool</t>
        </is>
      </c>
      <c r="C1" s="20" t="inlineStr">
        <is>
          <t>Link</t>
        </is>
      </c>
      <c r="D1" s="20" t="inlineStr">
        <is>
          <t>Category / Layer</t>
        </is>
      </c>
      <c r="E1" s="20" t="inlineStr">
        <is>
          <t>What it does</t>
        </is>
      </c>
      <c r="F1" s="20" t="inlineStr">
        <is>
          <t>Language</t>
        </is>
      </c>
      <c r="G1" s="20" t="inlineStr">
        <is>
          <t>License</t>
        </is>
      </c>
      <c r="H1" s="20" t="inlineStr">
        <is>
          <t>ETSI APIs</t>
        </is>
      </c>
      <c r="I1" s="20" t="inlineStr">
        <is>
          <t>Last commit</t>
        </is>
      </c>
      <c r="J1" s="20" t="inlineStr">
        <is>
          <t>Docker</t>
        </is>
      </c>
      <c r="K1" s="20" t="inlineStr">
        <is>
          <t>Test status</t>
        </is>
      </c>
      <c r="L1" s="20" t="inlineStr">
        <is>
          <t>Findings / Notes</t>
        </is>
      </c>
      <c r="M1" s="20" t="inlineStr">
        <is>
          <t>Test priority</t>
        </is>
      </c>
      <c r="N1" s="20" t="inlineStr">
        <is>
          <t>Latest release</t>
        </is>
      </c>
      <c r="O1" s="20" t="inlineStr">
        <is>
          <t>Archived</t>
        </is>
      </c>
      <c r="P1" s="20" t="inlineStr">
        <is>
          <t>Stars</t>
        </is>
      </c>
      <c r="Q1" s="20" t="inlineStr">
        <is>
          <t>Flags</t>
        </is>
      </c>
      <c r="R1" s="20" t="inlineStr">
        <is>
          <t>Last checked</t>
        </is>
      </c>
    </row>
    <row r="2" ht="79.84999999999999" customHeight="1" s="19">
      <c r="A2" s="21" t="n">
        <v>1</v>
      </c>
      <c r="B2" s="21" t="inlineStr">
        <is>
          <t>next-door-key-simulator</t>
        </is>
      </c>
      <c r="C2" s="22" t="inlineStr">
        <is>
          <t>https://github.com/CreepPork/next-door-key-simulator</t>
        </is>
      </c>
      <c r="D2" s="23" t="inlineStr">
        <is>
          <t>KMS / ETSI 014</t>
        </is>
      </c>
      <c r="E2" s="21" t="inlineStr">
        <is>
          <t>KME simulator for testing applications (SAEs) over 014, with automatic discovery of KMEs</t>
        </is>
      </c>
      <c r="F2" s="21" t="inlineStr">
        <is>
          <t>Python</t>
        </is>
      </c>
      <c r="G2" s="21" t="inlineStr">
        <is>
          <t>MIT</t>
        </is>
      </c>
      <c r="H2" s="21" t="inlineStr">
        <is>
          <t>014 v1.1.1</t>
        </is>
      </c>
      <c r="I2" s="21" t="inlineStr">
        <is>
          <t>2026-01-20</t>
        </is>
      </c>
      <c r="J2" s="21" t="inlineStr">
        <is>
          <t>Yes</t>
        </is>
      </c>
      <c r="K2" s="24" t="inlineStr">
        <is>
          <t>Tested</t>
        </is>
      </c>
      <c r="L2" s="21" t="inlineStr">
        <is>
          <t>Basic 014 flow correct (same key at both ends), key deleted after delivery, mTLS enforced. Issues: wrong stored_key_count in status, error codes/messages not as in the standard, deadlock when KMEs discover each other at the same time, verify=False on KME–KME traffic, keys in clear text in the logs, non-standard KME–KME protocol. For testing only.</t>
        </is>
      </c>
      <c r="M2" s="21" t="inlineStr">
        <is>
          <t>High</t>
        </is>
      </c>
      <c r="N2" s="18" t="inlineStr">
        <is>
          <t>v1.1.0 (2023-12-20)</t>
        </is>
      </c>
      <c r="O2" s="18" t="inlineStr">
        <is>
          <t>No</t>
        </is>
      </c>
      <c r="P2" s="18" t="n">
        <v>7</v>
      </c>
      <c r="R2" s="18" t="inlineStr">
        <is>
          <t>2026-10-19</t>
        </is>
      </c>
    </row>
    <row r="3" ht="35.05" customHeight="1" s="19">
      <c r="A3" s="21" t="n">
        <v>2</v>
      </c>
      <c r="B3" s="21" t="inlineStr">
        <is>
          <t>ETSI GS QKD 014 reference implementation (cybermerqury)</t>
        </is>
      </c>
      <c r="C3" s="22" t="inlineStr">
        <is>
          <t>https://github.com/cybermerqury/etsi-gs-qkd-014-referenceimplementation</t>
        </is>
      </c>
      <c r="D3" s="23" t="inlineStr">
        <is>
          <t>KMS / ETSI 014</t>
        </is>
      </c>
      <c r="E3" s="21" t="inlineStr">
        <is>
          <t>Reference implementation of a 014 KME server with mandatory mTLS</t>
        </is>
      </c>
      <c r="F3" s="21" t="inlineStr">
        <is>
          <t>Rust</t>
        </is>
      </c>
      <c r="G3" s="21" t="inlineStr">
        <is>
          <t>AGPL-3.0</t>
        </is>
      </c>
      <c r="H3" s="21" t="inlineStr">
        <is>
          <t>014 v1.1.1</t>
        </is>
      </c>
      <c r="I3" s="21" t="inlineStr">
        <is>
          <t>2026-08-14</t>
        </is>
      </c>
      <c r="J3" s="21" t="inlineStr">
        <is>
          <t>Yes</t>
        </is>
      </c>
      <c r="K3" s="21" t="inlineStr">
        <is>
          <t>To test</t>
        </is>
      </c>
      <c r="L3" s="21" t="inlineStr">
        <is>
          <t>AGPL may deter commercial adoption by vendors; a note for the study.</t>
        </is>
      </c>
      <c r="M3" s="21" t="inlineStr">
        <is>
          <t>High</t>
        </is>
      </c>
      <c r="O3" s="18" t="inlineStr">
        <is>
          <t>No</t>
        </is>
      </c>
      <c r="P3" s="18" t="n">
        <v>9</v>
      </c>
      <c r="R3" s="18" t="inlineStr">
        <is>
          <t>2026-10-19</t>
        </is>
      </c>
    </row>
    <row r="4" ht="35.05" customHeight="1" s="19">
      <c r="A4" s="21" t="n">
        <v>3</v>
      </c>
      <c r="B4" s="21" t="inlineStr">
        <is>
          <t>qkd_kme_server</t>
        </is>
      </c>
      <c r="C4" s="22" t="inlineStr">
        <is>
          <t>https://github.com/thomasarmel/qkd_kme_server</t>
        </is>
      </c>
      <c r="D4" s="23" t="inlineStr">
        <is>
          <t>KMS / ETSI 014</t>
        </is>
      </c>
      <c r="E4" s="21" t="inlineStr">
        <is>
          <t>014-compatible KME server; supports many remote KMEs and reads keys from files after privacy amplification</t>
        </is>
      </c>
      <c r="F4" s="21" t="inlineStr">
        <is>
          <t>Rust</t>
        </is>
      </c>
      <c r="G4" s="21" t="inlineStr">
        <is>
          <t>MIT</t>
        </is>
      </c>
      <c r="H4" s="21" t="inlineStr">
        <is>
          <t>014 v1.1.1</t>
        </is>
      </c>
      <c r="I4" s="21" t="inlineStr">
        <is>
          <t>2026-09-27</t>
        </is>
      </c>
      <c r="J4" s="21" t="inlineStr">
        <is>
          <t>Yes</t>
        </is>
      </c>
      <c r="K4" s="21" t="inlineStr">
        <is>
          <t>To test</t>
        </is>
      </c>
      <c r="L4" s="21" t="inlineStr">
        <is>
          <t>More production-like design (SQL database, multiple platforms), linked to a paper on formal verification of 014.</t>
        </is>
      </c>
      <c r="M4" s="21" t="inlineStr">
        <is>
          <t>High</t>
        </is>
      </c>
      <c r="O4" s="18" t="inlineStr">
        <is>
          <t>No</t>
        </is>
      </c>
      <c r="P4" s="18" t="n">
        <v>30</v>
      </c>
      <c r="Q4" s="18" t="inlineStr">
        <is>
          <t>no Dockerfile/compose in the root: to be checked</t>
        </is>
      </c>
      <c r="R4" s="18" t="inlineStr">
        <is>
          <t>2026-10-19</t>
        </is>
      </c>
    </row>
    <row r="5" ht="23.85" customHeight="1" s="19">
      <c r="A5" s="21" t="n">
        <v>4</v>
      </c>
      <c r="B5" s="21" t="inlineStr">
        <is>
          <t>QUBIP etsi-qkd-004</t>
        </is>
      </c>
      <c r="C5" s="22" t="inlineStr">
        <is>
          <t>https://github.com/QUBIP/etsi-qkd-004</t>
        </is>
      </c>
      <c r="D5" s="23" t="inlineStr">
        <is>
          <t>KMS / ETSI 004</t>
        </is>
      </c>
      <c r="E5" s="21" t="inlineStr">
        <is>
          <t>Simulated key generator and KMS for testing the 004 API</t>
        </is>
      </c>
      <c r="F5" s="21" t="inlineStr">
        <is>
          <t>Python</t>
        </is>
      </c>
      <c r="G5" s="21" t="inlineStr">
        <is>
          <t>BSD-3-Clause</t>
        </is>
      </c>
      <c r="H5" s="21" t="inlineStr">
        <is>
          <t>004</t>
        </is>
      </c>
      <c r="I5" s="21" t="inlineStr">
        <is>
          <t>2026-02-06</t>
        </is>
      </c>
      <c r="J5" s="21" t="inlineStr">
        <is>
          <t>Yes</t>
        </is>
      </c>
      <c r="K5" s="21" t="inlineStr">
        <is>
          <t>To test</t>
        </is>
      </c>
      <c r="L5" s="21" t="inlineStr">
        <is>
          <t>Useful for comparing 004 with 014.</t>
        </is>
      </c>
      <c r="M5" s="21" t="inlineStr">
        <is>
          <t>Medium</t>
        </is>
      </c>
      <c r="O5" s="18" t="inlineStr">
        <is>
          <t>No</t>
        </is>
      </c>
      <c r="P5" s="18" t="n">
        <v>7</v>
      </c>
      <c r="R5" s="18" t="inlineStr">
        <is>
          <t>2026-10-19</t>
        </is>
      </c>
    </row>
    <row r="6" ht="23.85" customHeight="1" s="19">
      <c r="A6" s="21" t="n">
        <v>5</v>
      </c>
      <c r="B6" s="21" t="inlineStr">
        <is>
          <t>QKDNetSim v2.0</t>
        </is>
      </c>
      <c r="C6" s="22" t="inlineStr">
        <is>
          <t>https://github.com/QKDNetSim/qkdnetsim</t>
        </is>
      </c>
      <c r="D6" s="25" t="inlineStr">
        <is>
          <t>QKD network simulation</t>
        </is>
      </c>
      <c r="E6" s="21" t="inlineStr">
        <is>
          <t>ns-3 module that simulates QKD networks, KMS, post-processing and encryption</t>
        </is>
      </c>
      <c r="F6" s="21" t="inlineStr">
        <is>
          <t>C++ (ns-3)</t>
        </is>
      </c>
      <c r="G6" s="21" t="inlineStr">
        <is>
          <t>GPL-2.0</t>
        </is>
      </c>
      <c r="H6" s="21" t="inlineStr">
        <is>
          <t>004, 014 (simulated)</t>
        </is>
      </c>
      <c r="I6" s="21" t="inlineStr">
        <is>
          <t>2026-10-08</t>
        </is>
      </c>
      <c r="J6" s="21" t="inlineStr">
        <is>
          <t>No</t>
        </is>
      </c>
      <c r="K6" s="21" t="inlineStr">
        <is>
          <t>To test</t>
        </is>
      </c>
      <c r="L6" s="21" t="inlineStr">
        <is>
          <t>The most mature at network level; includes 004 and 014 applications inside the simulator. Heavy setup (ns-3).</t>
        </is>
      </c>
      <c r="M6" s="21" t="inlineStr">
        <is>
          <t>High</t>
        </is>
      </c>
      <c r="N6" s="18" t="inlineStr">
        <is>
          <t>v3.1.4 (2026-09-21)</t>
        </is>
      </c>
      <c r="O6" s="18" t="inlineStr">
        <is>
          <t>No</t>
        </is>
      </c>
      <c r="P6" s="18" t="n">
        <v>35</v>
      </c>
      <c r="R6" s="18" t="inlineStr">
        <is>
          <t>2026-10-19</t>
        </is>
      </c>
    </row>
    <row r="7" ht="35.05" customHeight="1" s="19">
      <c r="A7" s="21" t="n">
        <v>6</v>
      </c>
      <c r="B7" s="21" t="inlineStr">
        <is>
          <t>Open QKD Network (qkd-net)</t>
        </is>
      </c>
      <c r="C7" s="22" t="inlineStr">
        <is>
          <t>https://github.com/Open-QKD-Network/qkd-net</t>
        </is>
      </c>
      <c r="D7" s="24" t="inlineStr">
        <is>
          <t>Full QKD network stack</t>
        </is>
      </c>
      <c r="E7" s="21" t="inlineStr">
        <is>
          <t>Reference implementation of a 4-layer QKD network with microservices, key routing and a QKD link simulator (IQC Waterloo)</t>
        </is>
      </c>
      <c r="F7" s="21" t="inlineStr">
        <is>
          <t>Java</t>
        </is>
      </c>
      <c r="G7" s="21" t="inlineStr">
        <is>
          <t>MIT</t>
        </is>
      </c>
      <c r="H7" s="21" t="inlineStr">
        <is>
          <t>To be checked</t>
        </is>
      </c>
      <c r="I7" s="21" t="inlineStr">
        <is>
          <t>2024-01-25</t>
        </is>
      </c>
      <c r="J7" s="21" t="inlineStr">
        <is>
          <t>No</t>
        </is>
      </c>
      <c r="K7" s="21" t="inlineStr">
        <is>
          <t>To test</t>
        </is>
      </c>
      <c r="L7" s="21" t="inlineStr">
        <is>
          <t>Low activity since 2024, old environment (Java 8, Ubuntu 16.04).</t>
        </is>
      </c>
      <c r="M7" s="21" t="inlineStr">
        <is>
          <t>Medium</t>
        </is>
      </c>
      <c r="O7" s="18" t="inlineStr">
        <is>
          <t>No</t>
        </is>
      </c>
      <c r="P7" s="18" t="n">
        <v>51</v>
      </c>
      <c r="Q7" s="18" t="inlineStr">
        <is>
          <t>no commit since 2024-01-25</t>
        </is>
      </c>
      <c r="R7" s="18" t="inlineStr">
        <is>
          <t>2026-10-19</t>
        </is>
      </c>
    </row>
    <row r="8" ht="35.05" customHeight="1" s="19">
      <c r="A8" s="21" t="n">
        <v>7</v>
      </c>
      <c r="B8" s="21" t="inlineStr">
        <is>
          <t>SeQUeNCe</t>
        </is>
      </c>
      <c r="C8" s="22" t="inlineStr">
        <is>
          <t>https://github.com/sequence-toolbox/SeQUeNCe</t>
        </is>
      </c>
      <c r="D8" s="25" t="inlineStr">
        <is>
          <t>Quantum network simulation</t>
        </is>
      </c>
      <c r="E8" s="21" t="inlineStr">
        <is>
          <t>Simulation of quantum networks with photonic components, control protocols and applications (Argonne)</t>
        </is>
      </c>
      <c r="F8" s="21" t="inlineStr">
        <is>
          <t>Python / C++</t>
        </is>
      </c>
      <c r="G8" s="21" t="inlineStr">
        <is>
          <t>BSD-style (Argonne)</t>
        </is>
      </c>
      <c r="H8" s="21" t="inlineStr">
        <is>
          <t>None</t>
        </is>
      </c>
      <c r="I8" s="21" t="inlineStr">
        <is>
          <t>2026-10-17</t>
        </is>
      </c>
      <c r="J8" s="21" t="inlineStr">
        <is>
          <t>No</t>
        </is>
      </c>
      <c r="K8" s="21" t="inlineStr">
        <is>
          <t>To evaluate</t>
        </is>
      </c>
      <c r="L8" s="21" t="inlineStr">
        <is>
          <t>Physical layer, not KMS; active development.</t>
        </is>
      </c>
      <c r="M8" s="21" t="inlineStr">
        <is>
          <t>Low</t>
        </is>
      </c>
      <c r="N8" s="18" t="inlineStr">
        <is>
          <t>v1.3.1 (2026-10-17)</t>
        </is>
      </c>
      <c r="O8" s="18" t="inlineStr">
        <is>
          <t>No</t>
        </is>
      </c>
      <c r="P8" s="18" t="n">
        <v>181</v>
      </c>
      <c r="Q8" t="inlineStr">
        <is>
          <t>new release v1.3.1 (2026-10-17)</t>
        </is>
      </c>
      <c r="R8" s="18" t="inlineStr">
        <is>
          <t>2026-10-19</t>
        </is>
      </c>
    </row>
    <row r="9" ht="23.85" customHeight="1" s="19">
      <c r="A9" s="21" t="n">
        <v>8</v>
      </c>
      <c r="B9" s="21" t="inlineStr">
        <is>
          <t>QuNetSim</t>
        </is>
      </c>
      <c r="C9" s="22" t="inlineStr">
        <is>
          <t>https://github.com/tqsd/QuNetSim</t>
        </is>
      </c>
      <c r="D9" s="25" t="inlineStr">
        <is>
          <t>Quantum network simulation</t>
        </is>
      </c>
      <c r="E9" s="21" t="inlineStr">
        <is>
          <t>Framework for simulating quantum networks at protocol level</t>
        </is>
      </c>
      <c r="F9" s="21" t="inlineStr">
        <is>
          <t>Python</t>
        </is>
      </c>
      <c r="G9" s="21" t="inlineStr">
        <is>
          <t>MIT</t>
        </is>
      </c>
      <c r="H9" s="21" t="inlineStr">
        <is>
          <t>None</t>
        </is>
      </c>
      <c r="I9" s="21" t="inlineStr">
        <is>
          <t>2023-06-07</t>
        </is>
      </c>
      <c r="J9" s="21" t="inlineStr">
        <is>
          <t>No</t>
        </is>
      </c>
      <c r="K9" s="21" t="inlineStr">
        <is>
          <t>To evaluate</t>
        </is>
      </c>
      <c r="L9" s="21" t="inlineStr">
        <is>
          <t>Inactive since 2023.</t>
        </is>
      </c>
      <c r="M9" s="21" t="inlineStr">
        <is>
          <t>Low</t>
        </is>
      </c>
      <c r="O9" s="18" t="inlineStr">
        <is>
          <t>No</t>
        </is>
      </c>
      <c r="P9" s="18" t="n">
        <v>146</v>
      </c>
      <c r="Q9" s="18" t="inlineStr">
        <is>
          <t>no commit since 2023-06-07</t>
        </is>
      </c>
      <c r="R9" s="18" t="inlineStr">
        <is>
          <t>2026-10-19</t>
        </is>
      </c>
    </row>
    <row r="10" ht="23.85" customHeight="1" s="19">
      <c r="A10" s="21" t="n">
        <v>9</v>
      </c>
      <c r="B10" s="21" t="inlineStr">
        <is>
          <t>SimulaQron</t>
        </is>
      </c>
      <c r="C10" s="22" t="inlineStr">
        <is>
          <t>https://github.com/SoftwareQuTech/SimulaQron</t>
        </is>
      </c>
      <c r="D10" s="25" t="inlineStr">
        <is>
          <t>Quantum network simulation</t>
        </is>
      </c>
      <c r="E10" s="21" t="inlineStr">
        <is>
          <t>Distributed simulation of quantum networks for application development (QuTech)</t>
        </is>
      </c>
      <c r="F10" s="21" t="inlineStr">
        <is>
          <t>Python</t>
        </is>
      </c>
      <c r="G10" s="21" t="inlineStr">
        <is>
          <t>BSD-style</t>
        </is>
      </c>
      <c r="H10" s="21" t="inlineStr">
        <is>
          <t>None</t>
        </is>
      </c>
      <c r="I10" s="21" t="inlineStr">
        <is>
          <t>2026-05-15</t>
        </is>
      </c>
      <c r="J10" s="21" t="inlineStr">
        <is>
          <t>Yes</t>
        </is>
      </c>
      <c r="K10" s="21" t="inlineStr">
        <is>
          <t>To evaluate</t>
        </is>
      </c>
      <c r="L10" s="21" t="inlineStr">
        <is>
          <t>Used for BB84 over OpenSSL in hackathons.</t>
        </is>
      </c>
      <c r="M10" s="21" t="inlineStr">
        <is>
          <t>Low</t>
        </is>
      </c>
      <c r="O10" s="18" t="inlineStr">
        <is>
          <t>No</t>
        </is>
      </c>
      <c r="P10" s="18" t="n">
        <v>135</v>
      </c>
      <c r="R10" s="18" t="inlineStr">
        <is>
          <t>2026-10-19</t>
        </is>
      </c>
    </row>
    <row r="11" ht="23.85" customHeight="1" s="19">
      <c r="A11" s="21" t="n">
        <v>10</v>
      </c>
      <c r="B11" s="21" t="inlineStr">
        <is>
          <t>QUICKS KMS–SDN Agent interface (AIT)</t>
        </is>
      </c>
      <c r="C11" s="22" t="inlineStr">
        <is>
          <t>https://github.com/kappall/kms-sdn-agent-interface-specification</t>
        </is>
      </c>
      <c r="D11" s="26" t="inlineStr">
        <is>
          <t>SDN / Control plane</t>
        </is>
      </c>
      <c r="E11" s="21" t="inlineStr">
        <is>
          <t>Specification of a REST API between KMS and SDN agent, which ETSI does not cover</t>
        </is>
      </c>
      <c r="F11" s="21" t="inlineStr">
        <is>
          <t>Spec (REST)</t>
        </is>
      </c>
      <c r="G11" s="21" t="inlineStr">
        <is>
          <t>MIT</t>
        </is>
      </c>
      <c r="H11" s="21" t="inlineStr">
        <is>
          <t>Related to 015</t>
        </is>
      </c>
      <c r="I11" s="21" t="inlineStr">
        <is>
          <t>2026-07-09</t>
        </is>
      </c>
      <c r="J11" s="21" t="inlineStr">
        <is>
          <t>No</t>
        </is>
      </c>
      <c r="K11" s="21" t="inlineStr">
        <is>
          <t>To study</t>
        </is>
      </c>
      <c r="L11" s="21" t="inlineStr">
        <is>
          <t>From AIT (HarmoniQCI coordinator); points to a specific gap in the standards.</t>
        </is>
      </c>
      <c r="M11" s="21" t="inlineStr">
        <is>
          <t>High</t>
        </is>
      </c>
      <c r="O11" s="18" t="inlineStr">
        <is>
          <t>No</t>
        </is>
      </c>
      <c r="P11" s="18" t="n">
        <v>0</v>
      </c>
      <c r="R11" s="18" t="inlineStr">
        <is>
          <t>2026-10-19</t>
        </is>
      </c>
    </row>
    <row r="12" ht="23.85" customHeight="1" s="19">
      <c r="A12" s="21" t="n">
        <v>11</v>
      </c>
      <c r="B12" s="21" t="inlineStr">
        <is>
          <t>ETSI 004 push-mode API spec (AIT)</t>
        </is>
      </c>
      <c r="C12" s="22" t="inlineStr">
        <is>
          <t>https://github.com/ait-crypto/etsi-gs-qkd-004-push-mode-API-specification</t>
        </is>
      </c>
      <c r="D12" s="26" t="inlineStr">
        <is>
          <t>SDN / Control plane</t>
        </is>
      </c>
      <c r="E12" s="21" t="inlineStr">
        <is>
          <t>Specification of a push-mode extension of 004</t>
        </is>
      </c>
      <c r="F12" s="21" t="inlineStr">
        <is>
          <t>Spec</t>
        </is>
      </c>
      <c r="G12" s="21" t="inlineStr">
        <is>
          <t>MIT</t>
        </is>
      </c>
      <c r="H12" s="21" t="inlineStr">
        <is>
          <t>004</t>
        </is>
      </c>
      <c r="I12" s="21" t="inlineStr">
        <is>
          <t>2026-02-06</t>
        </is>
      </c>
      <c r="J12" s="21" t="inlineStr">
        <is>
          <t>No</t>
        </is>
      </c>
      <c r="K12" s="21" t="inlineStr">
        <is>
          <t>To study</t>
        </is>
      </c>
      <c r="L12" s="21" t="inlineStr">
        <is>
          <t>Also from AIT; a possible topic for ETSI.</t>
        </is>
      </c>
      <c r="M12" s="21" t="inlineStr">
        <is>
          <t>Medium</t>
        </is>
      </c>
      <c r="N12" s="18" t="inlineStr">
        <is>
          <t>v1.0.1 (2026-02-06)</t>
        </is>
      </c>
      <c r="O12" s="18" t="inlineStr">
        <is>
          <t>No</t>
        </is>
      </c>
      <c r="P12" s="18" t="n">
        <v>2</v>
      </c>
      <c r="R12" s="18" t="inlineStr">
        <is>
          <t>2026-10-19</t>
        </is>
      </c>
    </row>
    <row r="13" ht="23.85" customHeight="1" s="19">
      <c r="A13" s="21" t="n">
        <v>12</v>
      </c>
      <c r="B13" s="21" t="inlineStr">
        <is>
          <t>qkd-etsi-api-c-wrapper</t>
        </is>
      </c>
      <c r="C13" s="22" t="inlineStr">
        <is>
          <t>https://github.com/qursa-uc3m/qkd-etsi-api-c-wrapper</t>
        </is>
      </c>
      <c r="D13" s="27" t="inlineStr">
        <is>
          <t>Library / Integration</t>
        </is>
      </c>
      <c r="E13" s="21" t="inlineStr">
        <is>
          <t>C wrapper for ETSI 004 and 014 calls from applications (UC3M)</t>
        </is>
      </c>
      <c r="F13" s="21" t="inlineStr">
        <is>
          <t>C</t>
        </is>
      </c>
      <c r="G13" s="21" t="inlineStr">
        <is>
          <t>To be checked</t>
        </is>
      </c>
      <c r="H13" s="21" t="inlineStr">
        <is>
          <t>004, 014</t>
        </is>
      </c>
      <c r="I13" s="21" t="inlineStr">
        <is>
          <t>2026-08-14</t>
        </is>
      </c>
      <c r="J13" s="21" t="inlineStr">
        <is>
          <t>To be checked</t>
        </is>
      </c>
      <c r="K13" s="21" t="inlineStr">
        <is>
          <t>To evaluate</t>
        </is>
      </c>
      <c r="L13" s="21" t="inlineStr">
        <is>
          <t>Useful for interoperability tests between different KMEs.</t>
        </is>
      </c>
      <c r="M13" s="21" t="inlineStr">
        <is>
          <t>Medium</t>
        </is>
      </c>
      <c r="N13" s="18" t="inlineStr">
        <is>
          <t>0.1.1 (2026-07-15)</t>
        </is>
      </c>
      <c r="O13" s="18" t="inlineStr">
        <is>
          <t>No</t>
        </is>
      </c>
      <c r="P13" s="18" t="n">
        <v>10</v>
      </c>
      <c r="R13" s="18" t="inlineStr">
        <is>
          <t>2026-10-19</t>
        </is>
      </c>
    </row>
    <row r="14" ht="23.85" customHeight="1" s="19">
      <c r="A14" s="21" t="n">
        <v>13</v>
      </c>
      <c r="B14" s="21" t="inlineStr">
        <is>
          <t>QuKayDee</t>
        </is>
      </c>
      <c r="C14" s="22" t="inlineStr">
        <is>
          <t>https://qukaydee.com</t>
        </is>
      </c>
      <c r="D14" s="28" t="inlineStr">
        <is>
          <t>Cloud testbed (not open source)</t>
        </is>
      </c>
      <c r="E14" s="21" t="inlineStr">
        <is>
          <t>QKD simulator in the cloud for interoperability testing of encryptors without hardware</t>
        </is>
      </c>
      <c r="F14" s="21" t="inlineStr">
        <is>
          <t>—</t>
        </is>
      </c>
      <c r="G14" s="21" t="inlineStr">
        <is>
          <t>Service</t>
        </is>
      </c>
      <c r="H14" s="21" t="inlineStr">
        <is>
          <t>014</t>
        </is>
      </c>
      <c r="I14" s="21" t="inlineStr">
        <is>
          <t>—</t>
        </is>
      </c>
      <c r="J14" s="21" t="inlineStr">
        <is>
          <t>—</t>
        </is>
      </c>
      <c r="K14" s="21" t="inlineStr">
        <is>
          <t>To evaluate</t>
        </is>
      </c>
      <c r="L14" s="21" t="inlineStr">
        <is>
          <t>Not open source, but exactly a 'tool in the cloud'; a good reference point.</t>
        </is>
      </c>
      <c r="M14" s="21" t="inlineStr">
        <is>
          <t>Medium</t>
        </is>
      </c>
      <c r="Q14" s="18" t="inlineStr">
        <is>
          <t>page offline: not reachable (ConnectError)</t>
        </is>
      </c>
      <c r="R14" s="18" t="inlineStr">
        <is>
          <t>2026-10-19</t>
        </is>
      </c>
    </row>
    <row r="15" ht="35.05" customHeight="1" s="19">
      <c r="A15" s="21" t="n">
        <v>14</v>
      </c>
      <c r="B15" s="21" t="inlineStr">
        <is>
          <t>NetSquid</t>
        </is>
      </c>
      <c r="C15" s="22" t="inlineStr">
        <is>
          <t>https://netsquid.org</t>
        </is>
      </c>
      <c r="D15" s="28" t="inlineStr">
        <is>
          <t>Simulation (not open source)</t>
        </is>
      </c>
      <c r="E15" s="21" t="inlineStr">
        <is>
          <t>Quantum network simulator (QuTech)</t>
        </is>
      </c>
      <c r="F15" s="21" t="inlineStr">
        <is>
          <t>Python</t>
        </is>
      </c>
      <c r="G15" s="21" t="inlineStr">
        <is>
          <t>Closed source, free with registration</t>
        </is>
      </c>
      <c r="H15" s="21" t="inlineStr">
        <is>
          <t>None</t>
        </is>
      </c>
      <c r="I15" s="21" t="inlineStr">
        <is>
          <t>—</t>
        </is>
      </c>
      <c r="J15" s="21" t="inlineStr">
        <is>
          <t>—</t>
        </is>
      </c>
      <c r="K15" s="21" t="inlineStr">
        <is>
          <t>Reference</t>
        </is>
      </c>
      <c r="L15" s="21" t="inlineStr">
        <is>
          <t>Not open source; listed for completeness.</t>
        </is>
      </c>
      <c r="M15" s="21" t="inlineStr">
        <is>
          <t>Low</t>
        </is>
      </c>
      <c r="Q15" s="18" t="inlineStr"/>
      <c r="R15" s="18" t="inlineStr">
        <is>
          <t>2026-10-19</t>
        </is>
      </c>
    </row>
    <row r="16">
      <c r="A16" s="21" t="inlineStr">
        <is>
          <t>15</t>
        </is>
      </c>
      <c r="B16" s="21" t="inlineStr">
        <is>
          <t>qkd-simulator (HarmoniQCI)</t>
        </is>
      </c>
      <c r="C16" s="22" t="inlineStr">
        <is>
          <t>https://github.com/swtoskon33/qkd-simulator</t>
        </is>
      </c>
      <c r="D16" s="28" t="inlineStr">
        <is>
          <t>SDN / Control plane (HarmoniQCI implementation)</t>
        </is>
      </c>
      <c r="E16" s="21" t="inlineStr">
        <is>
          <t>ETSI GS QKD 015 implementation: SD-QKD nodes with a YANG datastore, SD-QNC controller, dashboard, ETSI 014 towards applications and connection to existing KMEs/KMSs</t>
        </is>
      </c>
      <c r="F16" s="21" t="inlineStr">
        <is>
          <t>Python</t>
        </is>
      </c>
      <c r="G16" s="21" t="inlineStr">
        <is>
          <t>To be checked</t>
        </is>
      </c>
      <c r="H16" s="21" t="inlineStr">
        <is>
          <t>015, 014</t>
        </is>
      </c>
      <c r="I16" s="21" t="n"/>
      <c r="J16" s="21" t="inlineStr">
        <is>
          <t>Yes</t>
        </is>
      </c>
      <c r="K16" s="21" t="inlineStr">
        <is>
          <t>Tested</t>
        </is>
      </c>
      <c r="L16" s="21" t="inlineStr">
        <is>
          <t>Passes every check of etsi015-doctor. Tested with keys from qkd_kme_server and from the partners' QKD Simulator (.NET), also on their server.</t>
        </is>
      </c>
      <c r="M16" s="21" t="inlineStr">
        <is>
          <t>High</t>
        </is>
      </c>
      <c r="Q16" s="18" t="inlineStr">
        <is>
          <t>not found on GitHub (or private and the token has no access)</t>
        </is>
      </c>
      <c r="R16" s="18" t="inlineStr">
        <is>
          <t>2026-10-19</t>
        </is>
      </c>
    </row>
    <row r="17" ht="15" customHeight="1" s="19"/>
    <row r="18">
      <c r="B18" s="29" t="inlineStr">
        <is>
          <t>Source: license and last commit from shallow clones of the repositories on 21/09/2026. "To be checked" = not confirmed yet.</t>
        </is>
      </c>
    </row>
  </sheetData>
  <autoFilter ref="A1:R16"/>
  <dataValidations count="2">
    <dataValidation sqref="K2:K54" showDropDown="0" showInputMessage="0" showErrorMessage="0" allowBlank="0" type="list" errorStyle="stop" operator="between">
      <formula1>"Tested,To test,To evaluate,To study,Reference"</formula1>
      <formula2>0</formula2>
    </dataValidation>
    <dataValidation sqref="M2:M54" showDropDown="0" showInputMessage="0" showErrorMessage="0" allowBlank="0" type="list" errorStyle="stop" operator="between">
      <formula1>"High,Medium,Low"</formula1>
      <formula2>0</formula2>
    </dataValidation>
  </dataValidations>
  <hyperlinks>
    <hyperlink xmlns:r="http://schemas.openxmlformats.org/officeDocument/2006/relationships" ref="C2" display="https://github.com/CreepPork/next-door-key-simulator" r:id="rId1"/>
    <hyperlink xmlns:r="http://schemas.openxmlformats.org/officeDocument/2006/relationships" ref="C3" display="https://github.com/cybermerqury/etsi-gs-qkd-014-referenceimplementation" r:id="rId2"/>
    <hyperlink xmlns:r="http://schemas.openxmlformats.org/officeDocument/2006/relationships" ref="C4" display="https://github.com/thomasarmel/qkd_kme_server" r:id="rId3"/>
    <hyperlink xmlns:r="http://schemas.openxmlformats.org/officeDocument/2006/relationships" ref="C5" display="https://github.com/QUBIP/etsi-qkd-004" r:id="rId4"/>
    <hyperlink xmlns:r="http://schemas.openxmlformats.org/officeDocument/2006/relationships" ref="C6" display="https://github.com/QKDNetSim/qkdnetsim" r:id="rId5"/>
    <hyperlink xmlns:r="http://schemas.openxmlformats.org/officeDocument/2006/relationships" ref="C7" display="https://github.com/Open-QKD-Network/qkd-net" r:id="rId6"/>
    <hyperlink xmlns:r="http://schemas.openxmlformats.org/officeDocument/2006/relationships" ref="C8" display="https://github.com/sequence-toolbox/SeQUeNCe" r:id="rId7"/>
    <hyperlink xmlns:r="http://schemas.openxmlformats.org/officeDocument/2006/relationships" ref="C9" display="https://github.com/tqsd/QuNetSim" r:id="rId8"/>
    <hyperlink xmlns:r="http://schemas.openxmlformats.org/officeDocument/2006/relationships" ref="C10" display="https://github.com/SoftwareQuTech/SimulaQron" r:id="rId9"/>
    <hyperlink xmlns:r="http://schemas.openxmlformats.org/officeDocument/2006/relationships" ref="C11" display="https://github.com/kappall/kms-sdn-agent-interface-specification" r:id="rId10"/>
    <hyperlink xmlns:r="http://schemas.openxmlformats.org/officeDocument/2006/relationships" ref="C12" display="https://github.com/ait-crypto/etsi-gs-qkd-004-push-mode-API-specification" r:id="rId11"/>
    <hyperlink xmlns:r="http://schemas.openxmlformats.org/officeDocument/2006/relationships" ref="C13" display="https://github.com/qursa-uc3m/qkd-etsi-api-c-wrapper" r:id="rId12"/>
    <hyperlink xmlns:r="http://schemas.openxmlformats.org/officeDocument/2006/relationships" ref="C14" display="https://qukaydee.com" r:id="rId13"/>
    <hyperlink xmlns:r="http://schemas.openxmlformats.org/officeDocument/2006/relationships" ref="C15" display="https://netsquid.org" r:id="rId1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8" min="1" max="1"/>
    <col width="70" customWidth="1" style="18" min="2" max="2"/>
    <col width="10" customWidth="1" style="18" min="3" max="3"/>
  </cols>
  <sheetData>
    <row r="1" ht="15" customHeight="1" s="19">
      <c r="A1" s="30" t="inlineStr">
        <is>
          <t>Criterion</t>
        </is>
      </c>
      <c r="B1" s="30" t="inlineStr">
        <is>
          <t>What it measures</t>
        </is>
      </c>
      <c r="C1" s="30" t="inlineStr">
        <is>
          <t>Weight</t>
        </is>
      </c>
    </row>
    <row r="2" ht="15" customHeight="1" s="19">
      <c r="A2" s="21" t="inlineStr">
        <is>
          <t>ETSI compliance</t>
        </is>
      </c>
      <c r="B2" s="21" t="inlineStr">
        <is>
          <t>How faithfully it implements the ETSI APIs (endpoints, fields, error codes)</t>
        </is>
      </c>
      <c r="C2" s="31" t="n">
        <v>0.3</v>
      </c>
    </row>
    <row r="3" ht="15" customHeight="1" s="19">
      <c r="A3" s="21" t="inlineStr">
        <is>
          <t>Security</t>
        </is>
      </c>
      <c r="B3" s="21" t="inlineStr">
        <is>
          <t>mTLS, certificate checks, key handling, logs</t>
        </is>
      </c>
      <c r="C3" s="31" t="n">
        <v>0.2</v>
      </c>
    </row>
    <row r="4" ht="15" customHeight="1" s="19">
      <c r="A4" s="21" t="inlineStr">
        <is>
          <t>Ease of deployment</t>
        </is>
      </c>
      <c r="B4" s="21" t="inlineStr">
        <is>
          <t>Runs in the cloud/Docker without special setup</t>
        </is>
      </c>
      <c r="C4" s="31" t="n">
        <v>0.15</v>
      </c>
    </row>
    <row r="5" ht="15" customHeight="1" s="19">
      <c r="A5" s="21" t="inlineStr">
        <is>
          <t>Reliability</t>
        </is>
      </c>
      <c r="B5" s="21" t="inlineStr">
        <is>
          <t>Stability, no hangs or unexpected behaviour</t>
        </is>
      </c>
      <c r="C5" s="31" t="n">
        <v>0.15</v>
      </c>
    </row>
    <row r="6" ht="15" customHeight="1" s="19">
      <c r="A6" s="21" t="inlineStr">
        <is>
          <t>Maintenance / Community</t>
        </is>
      </c>
      <c r="B6" s="21" t="inlineStr">
        <is>
          <t>Recent commits, active maintainers, issues</t>
        </is>
      </c>
      <c r="C6" s="31" t="n">
        <v>0.1</v>
      </c>
    </row>
    <row r="7" ht="15" customHeight="1" s="19">
      <c r="A7" s="21" t="inlineStr">
        <is>
          <t>Documentation</t>
        </is>
      </c>
      <c r="B7" s="21" t="inlineStr">
        <is>
          <t>Quality of README, docs, examples</t>
        </is>
      </c>
      <c r="C7" s="31" t="n">
        <v>0.1</v>
      </c>
    </row>
    <row r="8" ht="15" customHeight="1" s="19">
      <c r="A8" s="32" t="inlineStr">
        <is>
          <t>Sum of weights</t>
        </is>
      </c>
      <c r="B8" s="21" t="n"/>
      <c r="C8" s="33">
        <f>SUM(C2:C7)</f>
        <v/>
      </c>
    </row>
    <row r="10" ht="15" customHeight="1" s="19">
      <c r="A10" s="29" t="inlineStr">
        <is>
          <t>Scale: 1 = very poor, 3 = adequate, 5 = very good. The weights (yellow cells) are a proposal, to be adjusted after discussion with Mr Papadopoulos.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4" customWidth="1" style="18" min="1" max="1"/>
    <col width="15" customWidth="1" style="18" min="2" max="7"/>
    <col width="16" customWidth="1" style="18" min="8" max="8"/>
  </cols>
  <sheetData>
    <row r="1" ht="23.85" customHeight="1" s="19">
      <c r="A1" s="20" t="inlineStr">
        <is>
          <t>Tool</t>
        </is>
      </c>
      <c r="B1" s="20" t="inlineStr">
        <is>
          <t>ETSI compliance</t>
        </is>
      </c>
      <c r="C1" s="20" t="inlineStr">
        <is>
          <t>Security</t>
        </is>
      </c>
      <c r="D1" s="20" t="inlineStr">
        <is>
          <t>Ease of deployment</t>
        </is>
      </c>
      <c r="E1" s="20" t="inlineStr">
        <is>
          <t>Reliability</t>
        </is>
      </c>
      <c r="F1" s="20" t="inlineStr">
        <is>
          <t>Maintenance / Community</t>
        </is>
      </c>
      <c r="G1" s="20" t="inlineStr">
        <is>
          <t>Documentation</t>
        </is>
      </c>
      <c r="H1" s="20" t="inlineStr">
        <is>
          <t>Weighted total</t>
        </is>
      </c>
    </row>
    <row r="2" ht="15" customHeight="1" s="19">
      <c r="A2" s="34" t="inlineStr">
        <is>
          <t>next-door-key-simulator</t>
        </is>
      </c>
      <c r="B2" s="35" t="n">
        <v>3</v>
      </c>
      <c r="C2" s="35" t="n">
        <v>2</v>
      </c>
      <c r="D2" s="35" t="n">
        <v>4</v>
      </c>
      <c r="E2" s="35" t="n">
        <v>2</v>
      </c>
      <c r="F2" s="35" t="n">
        <v>3</v>
      </c>
      <c r="G2" s="35" t="n">
        <v>3</v>
      </c>
      <c r="H2" s="36">
        <f>IF(COUNT(B2:G2)=0,"",B2*Criteria!$C$2+C2*Criteria!$C$3+D2*Criteria!$C$4+E2*Criteria!$C$5+F2*Criteria!$C$6+G2*Criteria!$C$7)</f>
        <v/>
      </c>
    </row>
    <row r="3" ht="15" customHeight="1" s="19">
      <c r="A3" s="34" t="inlineStr">
        <is>
          <t>ETSI GS QKD 014 reference implementation (cybermerqury)</t>
        </is>
      </c>
      <c r="B3" s="35" t="n"/>
      <c r="C3" s="35" t="n"/>
      <c r="D3" s="35" t="n"/>
      <c r="E3" s="35" t="n"/>
      <c r="F3" s="35" t="n"/>
      <c r="G3" s="35" t="n"/>
      <c r="H3" s="36">
        <f>IF(COUNT(B3:G3)=0,"",B3*Criteria!$C$2+C3*Criteria!$C$3+D3*Criteria!$C$4+E3*Criteria!$C$5+F3*Criteria!$C$6+G3*Criteria!$C$7)</f>
        <v/>
      </c>
    </row>
    <row r="4" ht="15" customHeight="1" s="19">
      <c r="A4" s="34" t="inlineStr">
        <is>
          <t>qkd_kme_server</t>
        </is>
      </c>
      <c r="B4" s="35" t="n"/>
      <c r="C4" s="35" t="n"/>
      <c r="D4" s="35" t="n"/>
      <c r="E4" s="35" t="n"/>
      <c r="F4" s="35" t="n"/>
      <c r="G4" s="35" t="n"/>
      <c r="H4" s="36">
        <f>IF(COUNT(B4:G4)=0,"",B4*Criteria!$C$2+C4*Criteria!$C$3+D4*Criteria!$C$4+E4*Criteria!$C$5+F4*Criteria!$C$6+G4*Criteria!$C$7)</f>
        <v/>
      </c>
    </row>
    <row r="5" ht="15" customHeight="1" s="19">
      <c r="A5" s="34" t="inlineStr">
        <is>
          <t>QUBIP etsi-qkd-004</t>
        </is>
      </c>
      <c r="B5" s="35" t="n"/>
      <c r="C5" s="35" t="n"/>
      <c r="D5" s="35" t="n"/>
      <c r="E5" s="35" t="n"/>
      <c r="F5" s="35" t="n"/>
      <c r="G5" s="35" t="n"/>
      <c r="H5" s="36">
        <f>IF(COUNT(B5:G5)=0,"",B5*Criteria!$C$2+C5*Criteria!$C$3+D5*Criteria!$C$4+E5*Criteria!$C$5+F5*Criteria!$C$6+G5*Criteria!$C$7)</f>
        <v/>
      </c>
    </row>
    <row r="6" ht="15" customHeight="1" s="19">
      <c r="A6" s="34" t="inlineStr">
        <is>
          <t>QKDNetSim v2.0</t>
        </is>
      </c>
      <c r="B6" s="35" t="n"/>
      <c r="C6" s="35" t="n"/>
      <c r="D6" s="35" t="n"/>
      <c r="E6" s="35" t="n"/>
      <c r="F6" s="35" t="n"/>
      <c r="G6" s="35" t="n"/>
      <c r="H6" s="36">
        <f>IF(COUNT(B6:G6)=0,"",B6*Criteria!$C$2+C6*Criteria!$C$3+D6*Criteria!$C$4+E6*Criteria!$C$5+F6*Criteria!$C$6+G6*Criteria!$C$7)</f>
        <v/>
      </c>
    </row>
    <row r="7" ht="15" customHeight="1" s="19">
      <c r="A7" s="34" t="inlineStr">
        <is>
          <t>Open QKD Network (qkd-net)</t>
        </is>
      </c>
      <c r="B7" s="35" t="n"/>
      <c r="C7" s="35" t="n"/>
      <c r="D7" s="35" t="n"/>
      <c r="E7" s="35" t="n"/>
      <c r="F7" s="35" t="n"/>
      <c r="G7" s="35" t="n"/>
      <c r="H7" s="36">
        <f>IF(COUNT(B7:G7)=0,"",B7*Criteria!$C$2+C7*Criteria!$C$3+D7*Criteria!$C$4+E7*Criteria!$C$5+F7*Criteria!$C$6+G7*Criteria!$C$7)</f>
        <v/>
      </c>
    </row>
    <row r="8" ht="15" customHeight="1" s="19">
      <c r="A8" s="34" t="inlineStr">
        <is>
          <t>SeQUeNCe</t>
        </is>
      </c>
      <c r="B8" s="35" t="n"/>
      <c r="C8" s="35" t="n"/>
      <c r="D8" s="35" t="n"/>
      <c r="E8" s="35" t="n"/>
      <c r="F8" s="35" t="n"/>
      <c r="G8" s="35" t="n"/>
      <c r="H8" s="36">
        <f>IF(COUNT(B8:G8)=0,"",B8*Criteria!$C$2+C8*Criteria!$C$3+D8*Criteria!$C$4+E8*Criteria!$C$5+F8*Criteria!$C$6+G8*Criteria!$C$7)</f>
        <v/>
      </c>
    </row>
    <row r="9" ht="15" customHeight="1" s="19">
      <c r="A9" s="34" t="inlineStr">
        <is>
          <t>QuNetSim</t>
        </is>
      </c>
      <c r="B9" s="35" t="n"/>
      <c r="C9" s="35" t="n"/>
      <c r="D9" s="35" t="n"/>
      <c r="E9" s="35" t="n"/>
      <c r="F9" s="35" t="n"/>
      <c r="G9" s="35" t="n"/>
      <c r="H9" s="36">
        <f>IF(COUNT(B9:G9)=0,"",B9*Criteria!$C$2+C9*Criteria!$C$3+D9*Criteria!$C$4+E9*Criteria!$C$5+F9*Criteria!$C$6+G9*Criteria!$C$7)</f>
        <v/>
      </c>
    </row>
    <row r="10" ht="15" customHeight="1" s="19">
      <c r="A10" s="34" t="inlineStr">
        <is>
          <t>SimulaQron</t>
        </is>
      </c>
      <c r="B10" s="35" t="n"/>
      <c r="C10" s="35" t="n"/>
      <c r="D10" s="35" t="n"/>
      <c r="E10" s="35" t="n"/>
      <c r="F10" s="35" t="n"/>
      <c r="G10" s="35" t="n"/>
      <c r="H10" s="36">
        <f>IF(COUNT(B10:G10)=0,"",B10*Criteria!$C$2+C10*Criteria!$C$3+D10*Criteria!$C$4+E10*Criteria!$C$5+F10*Criteria!$C$6+G10*Criteria!$C$7)</f>
        <v/>
      </c>
    </row>
    <row r="11" ht="15" customHeight="1" s="19">
      <c r="A11" s="34" t="inlineStr">
        <is>
          <t>QUICKS KMS–SDN Agent interface (AIT)</t>
        </is>
      </c>
      <c r="B11" s="35" t="n"/>
      <c r="C11" s="35" t="n"/>
      <c r="D11" s="35" t="n"/>
      <c r="E11" s="35" t="n"/>
      <c r="F11" s="35" t="n"/>
      <c r="G11" s="35" t="n"/>
      <c r="H11" s="36">
        <f>IF(COUNT(B11:G11)=0,"",B11*Criteria!$C$2+C11*Criteria!$C$3+D11*Criteria!$C$4+E11*Criteria!$C$5+F11*Criteria!$C$6+G11*Criteria!$C$7)</f>
        <v/>
      </c>
    </row>
    <row r="12" ht="15" customHeight="1" s="19">
      <c r="A12" s="34" t="inlineStr">
        <is>
          <t>ETSI 004 push-mode API spec (AIT)</t>
        </is>
      </c>
      <c r="B12" s="35" t="n"/>
      <c r="C12" s="35" t="n"/>
      <c r="D12" s="35" t="n"/>
      <c r="E12" s="35" t="n"/>
      <c r="F12" s="35" t="n"/>
      <c r="G12" s="35" t="n"/>
      <c r="H12" s="36">
        <f>IF(COUNT(B12:G12)=0,"",B12*Criteria!$C$2+C12*Criteria!$C$3+D12*Criteria!$C$4+E12*Criteria!$C$5+F12*Criteria!$C$6+G12*Criteria!$C$7)</f>
        <v/>
      </c>
    </row>
    <row r="13" ht="15" customHeight="1" s="19">
      <c r="A13" s="34" t="inlineStr">
        <is>
          <t>qkd-etsi-api-c-wrapper</t>
        </is>
      </c>
      <c r="B13" s="35" t="n"/>
      <c r="C13" s="35" t="n"/>
      <c r="D13" s="35" t="n"/>
      <c r="E13" s="35" t="n"/>
      <c r="F13" s="35" t="n"/>
      <c r="G13" s="35" t="n"/>
      <c r="H13" s="36">
        <f>IF(COUNT(B13:G13)=0,"",B13*Criteria!$C$2+C13*Criteria!$C$3+D13*Criteria!$C$4+E13*Criteria!$C$5+F13*Criteria!$C$6+G13*Criteria!$C$7)</f>
        <v/>
      </c>
    </row>
    <row r="14" ht="15" customHeight="1" s="19">
      <c r="A14" s="34" t="inlineStr">
        <is>
          <t>QuKayDee</t>
        </is>
      </c>
      <c r="B14" s="35" t="n"/>
      <c r="C14" s="35" t="n"/>
      <c r="D14" s="35" t="n"/>
      <c r="E14" s="35" t="n"/>
      <c r="F14" s="35" t="n"/>
      <c r="G14" s="35" t="n"/>
      <c r="H14" s="36">
        <f>IF(COUNT(B14:G14)=0,"",B14*Criteria!$C$2+C14*Criteria!$C$3+D14*Criteria!$C$4+E14*Criteria!$C$5+F14*Criteria!$C$6+G14*Criteria!$C$7)</f>
        <v/>
      </c>
    </row>
    <row r="15">
      <c r="A15" s="34" t="inlineStr">
        <is>
          <t>qkd-simulator (HarmoniQCI)</t>
        </is>
      </c>
      <c r="B15" s="35" t="n"/>
      <c r="C15" s="35" t="n"/>
      <c r="D15" s="35" t="n"/>
      <c r="E15" s="35" t="n"/>
      <c r="F15" s="35" t="n"/>
      <c r="G15" s="35" t="n"/>
      <c r="H15" s="36">
        <f>IF(COUNT(B15:G15)=0,"",B15*Criteria!$C$2+C15*Criteria!$C$3+D15*Criteria!$C$4+E15*Criteria!$C$5+F15*Criteria!$C$6+G15*Criteria!$C$7)</f>
        <v/>
      </c>
    </row>
    <row r="16" ht="15" customHeight="1" s="19"/>
    <row r="17" ht="15" customHeight="1" s="19">
      <c r="A17" s="29" t="inlineStr">
        <is>
          <t>Fill in the yellow cells (1–5) after testing each tool; the total is computed from the weights in the sheet "Criteria".</t>
        </is>
      </c>
    </row>
    <row r="18">
      <c r="A18" s="29" t="inlineStr">
        <is>
          <t>The next-door-key-simulator row is an indicative score based on our test.</t>
        </is>
      </c>
    </row>
  </sheetData>
  <dataValidations count="1">
    <dataValidation sqref="B2:G15" showDropDown="0" showInputMessage="0" showErrorMessage="0" allowBlank="0" type="whole" errorStyle="stop" operator="between">
      <formula1>1</formula1>
      <formula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outlinePr summaryBelow="1" summaryRight="1"/>
    <pageSetUpPr/>
  </sheetPr>
  <dimension ref="A1:L44"/>
  <sheetViews>
    <sheetView workbookViewId="0">
      <pane ySplit="1" topLeftCell="A2" activePane="bottomLeft" state="frozen"/>
      <selection pane="bottomLeft" activeCell="A1" sqref="A1"/>
    </sheetView>
  </sheetViews>
  <sheetFormatPr baseColWidth="8" defaultRowHeight="15"/>
  <cols>
    <col width="18" customWidth="1" style="19" min="12" max="12"/>
  </cols>
  <sheetData>
    <row r="1">
      <c r="A1" s="37" t="inlineStr">
        <is>
          <t>Repo</t>
        </is>
      </c>
      <c r="B1" s="37" t="inlineStr">
        <is>
          <t>Link</t>
        </is>
      </c>
      <c r="C1" s="37" t="inlineStr">
        <is>
          <t>Description</t>
        </is>
      </c>
      <c r="D1" s="37" t="inlineStr">
        <is>
          <t>Language</t>
        </is>
      </c>
      <c r="E1" s="37" t="inlineStr">
        <is>
          <t>License</t>
        </is>
      </c>
      <c r="F1" s="37" t="inlineStr">
        <is>
          <t>Stars</t>
        </is>
      </c>
      <c r="G1" s="37" t="inlineStr">
        <is>
          <t>Last push</t>
        </is>
      </c>
      <c r="H1" s="37" t="inlineStr">
        <is>
          <t>Query</t>
        </is>
      </c>
      <c r="I1" s="37" t="inlineStr">
        <is>
          <t>First seen</t>
        </is>
      </c>
      <c r="J1" s="37" t="inlineStr">
        <is>
          <t>Decision</t>
        </is>
      </c>
      <c r="K1" s="37" t="inlineStr">
        <is>
          <t>Comment</t>
        </is>
      </c>
      <c r="L1" s="37" t="inlineStr">
        <is>
          <t>Source</t>
        </is>
      </c>
    </row>
    <row r="2">
      <c r="A2" s="18" t="inlineStr">
        <is>
          <t>qkd-simulator (HarmoniQCI)</t>
        </is>
      </c>
      <c r="B2" s="18" t="inlineStr">
        <is>
          <t>https://github.com/swtoskon33/qkd-simulator</t>
        </is>
      </c>
      <c r="C2" s="18" t="inlineStr">
        <is>
          <t>ETSI GS QKD 015 implementation: SD-QKD nodes with a YANG datastore, SD-QNC controller, dashboard, ETSI 014 towards applications and connection to existing KMEs/KMSs</t>
        </is>
      </c>
      <c r="D2" s="18" t="inlineStr">
        <is>
          <t>Python</t>
        </is>
      </c>
      <c r="I2" s="18" t="inlineStr">
        <is>
          <t>2026-10-14</t>
        </is>
      </c>
      <c r="J2" s="18" t="inlineStr">
        <is>
          <t>Added</t>
        </is>
      </c>
      <c r="K2" s="18" t="inlineStr">
        <is>
          <t>our T5.1 implementation</t>
        </is>
      </c>
    </row>
    <row r="3">
      <c r="A3" s="18" t="inlineStr">
        <is>
          <t>LUMII-Syslab/qkd-stub</t>
        </is>
      </c>
      <c r="B3" s="18" t="inlineStr">
        <is>
          <t>https://github.com/LUMII-Syslab/qkd-stub</t>
        </is>
      </c>
      <c r="C3" s="18" t="inlineStr">
        <is>
          <t>Deterministic HTTPS stub for QKD integration testing. Implements the ETSI GS QKD 014 key-delivery API using a shared PSK and SAE-bound key IDs. No inter-KME talk.</t>
        </is>
      </c>
      <c r="D3" s="18" t="inlineStr">
        <is>
          <t>Rust</t>
        </is>
      </c>
      <c r="E3" s="18" t="inlineStr">
        <is>
          <t>MIT</t>
        </is>
      </c>
      <c r="F3" s="18" t="n">
        <v>0</v>
      </c>
      <c r="G3" s="18" t="inlineStr">
        <is>
          <t>2026-10-09</t>
        </is>
      </c>
      <c r="H3" s="18" t="inlineStr">
        <is>
          <t>"ETSI GS QKD" in:name,description,readme</t>
        </is>
      </c>
      <c r="I3" s="18" t="inlineStr">
        <is>
          <t>2026-10-14</t>
        </is>
      </c>
      <c r="J3" s="18" t="inlineStr"/>
      <c r="K3" s="18" t="inlineStr"/>
    </row>
    <row r="4">
      <c r="A4" s="18" t="inlineStr">
        <is>
          <t>QOJena/etsi014_rs</t>
        </is>
      </c>
      <c r="B4" s="18" t="inlineStr">
        <is>
          <t>https://github.com/QOJena/etsi014_rs</t>
        </is>
      </c>
      <c r="C4" s="18" t="inlineStr"/>
      <c r="D4" s="18" t="inlineStr">
        <is>
          <t>Rust</t>
        </is>
      </c>
      <c r="E4" s="18" t="inlineStr">
        <is>
          <t>MIT</t>
        </is>
      </c>
      <c r="F4" s="18" t="n">
        <v>0</v>
      </c>
      <c r="G4" s="18" t="inlineStr">
        <is>
          <t>2026-10-09</t>
        </is>
      </c>
      <c r="H4" s="18" t="inlineStr">
        <is>
          <t>"ETSI GS QKD" in:name,description,readme</t>
        </is>
      </c>
      <c r="I4" s="18" t="inlineStr">
        <is>
          <t>2026-10-14</t>
        </is>
      </c>
      <c r="J4" s="18" t="inlineStr"/>
      <c r="K4" s="18" t="inlineStr"/>
    </row>
    <row r="5">
      <c r="A5" s="18" t="inlineStr">
        <is>
          <t>matteogrande/qsdn-adapter</t>
        </is>
      </c>
      <c r="B5" s="18" t="inlineStr">
        <is>
          <t>https://github.com/matteogrande/qsdn-adapter</t>
        </is>
      </c>
      <c r="C5" s="18" t="inlineStr">
        <is>
          <t>QKD Southbound Adapter for simulated SDN/ONOS and ETSI GS QKD 014 KMS orchestration.</t>
        </is>
      </c>
      <c r="D5" s="18" t="inlineStr">
        <is>
          <t>HTML</t>
        </is>
      </c>
      <c r="E5" s="18" t="inlineStr"/>
      <c r="F5" s="18" t="n">
        <v>1</v>
      </c>
      <c r="G5" s="18" t="inlineStr">
        <is>
          <t>2026-10-09</t>
        </is>
      </c>
      <c r="H5" s="18" t="inlineStr">
        <is>
          <t>"ETSI GS QKD" in:name,description,readme</t>
        </is>
      </c>
      <c r="I5" s="18" t="inlineStr">
        <is>
          <t>2026-10-14</t>
        </is>
      </c>
      <c r="J5" s="18" t="inlineStr"/>
      <c r="K5" s="18" t="inlineStr"/>
    </row>
    <row r="6">
      <c r="A6" s="18" t="inlineStr">
        <is>
          <t>JNPRAutomate/Quantum-Safe-MACsec</t>
        </is>
      </c>
      <c r="B6" s="18" t="inlineStr">
        <is>
          <t>https://github.com/JNPRAutomate/Quantum-Safe-MACsec</t>
        </is>
      </c>
      <c r="C6" s="18" t="inlineStr">
        <is>
          <t>The quantum key distribution (QKD) MACSEC script is written in python3. The script allows the JUNOS devices to fetch key material from QKD/KME and update the MACsec static CAK accordingly. The script makes use of the libraries in the "ETSI GS QKD 014 v1.1.1 - Reference Implementation" public reposit</t>
        </is>
      </c>
      <c r="D6" s="18" t="inlineStr">
        <is>
          <t>Python</t>
        </is>
      </c>
      <c r="E6" s="18" t="inlineStr">
        <is>
          <t>MIT</t>
        </is>
      </c>
      <c r="F6" s="18" t="n">
        <v>3</v>
      </c>
      <c r="G6" s="18" t="inlineStr">
        <is>
          <t>2026-10-06</t>
        </is>
      </c>
      <c r="H6" s="18" t="inlineStr">
        <is>
          <t>"ETSI GS QKD" in:name,description,readme</t>
        </is>
      </c>
      <c r="I6" s="18" t="inlineStr">
        <is>
          <t>2026-10-14</t>
        </is>
      </c>
      <c r="J6" s="18" t="inlineStr"/>
      <c r="K6" s="18" t="inlineStr"/>
    </row>
    <row r="7">
      <c r="A7" s="18" t="inlineStr">
        <is>
          <t>arnika-project/arnika</t>
        </is>
      </c>
      <c r="B7" s="18" t="inlineStr">
        <is>
          <t>https://github.com/arnika-project/arnika</t>
        </is>
      </c>
      <c r="C7" s="18" t="inlineStr">
        <is>
          <t>Arnika - Quantum secure VPN</t>
        </is>
      </c>
      <c r="D7" s="18" t="inlineStr">
        <is>
          <t>Go</t>
        </is>
      </c>
      <c r="E7" s="18" t="inlineStr">
        <is>
          <t>Apache-2.0</t>
        </is>
      </c>
      <c r="F7" s="18" t="n">
        <v>42</v>
      </c>
      <c r="G7" s="18" t="inlineStr">
        <is>
          <t>2026-10-04</t>
        </is>
      </c>
      <c r="H7" s="18" t="inlineStr">
        <is>
          <t>"ETSI GS QKD" in:name,description,readme</t>
        </is>
      </c>
      <c r="I7" s="18" t="inlineStr">
        <is>
          <t>2026-10-14</t>
        </is>
      </c>
      <c r="J7" s="18" t="inlineStr"/>
      <c r="K7" s="18" t="inlineStr"/>
    </row>
    <row r="8">
      <c r="A8" s="18" t="inlineStr">
        <is>
          <t>Rodolphe21/qkd-etsi014-poc</t>
        </is>
      </c>
      <c r="B8" s="18" t="inlineStr">
        <is>
          <t>https://github.com/Rodolphe21/qkd-etsi014-poc</t>
        </is>
      </c>
      <c r="C8" s="18" t="inlineStr">
        <is>
          <t>Wire-level analysis of the ETSI GS QKD 014 key delivery API — mTLS traces, test cases, and a Python client against a simulated QKD network</t>
        </is>
      </c>
      <c r="D8" s="18" t="inlineStr">
        <is>
          <t>Python</t>
        </is>
      </c>
      <c r="E8" s="18" t="inlineStr"/>
      <c r="F8" s="18" t="n">
        <v>1</v>
      </c>
      <c r="G8" s="18" t="inlineStr">
        <is>
          <t>2026-08-09</t>
        </is>
      </c>
      <c r="H8" s="18" t="inlineStr">
        <is>
          <t>"QKD 015" in:name,description,readme</t>
        </is>
      </c>
      <c r="I8" s="18" t="inlineStr">
        <is>
          <t>2026-10-14</t>
        </is>
      </c>
      <c r="J8" s="18" t="inlineStr"/>
      <c r="K8" s="18" t="inlineStr"/>
    </row>
    <row r="9">
      <c r="A9" s="18" t="inlineStr">
        <is>
          <t>ait-crypto/kms-sdn-agent-interface-specification</t>
        </is>
      </c>
      <c r="B9" s="18" t="inlineStr">
        <is>
          <t>https://github.com/ait-crypto/kms-sdn-agent-interface-specification</t>
        </is>
      </c>
      <c r="C9" s="18" t="inlineStr">
        <is>
          <t>QUICKS: a KMS to SDN Agent interface specification for QKDN</t>
        </is>
      </c>
      <c r="D9" s="18" t="inlineStr"/>
      <c r="E9" s="18" t="inlineStr">
        <is>
          <t>MIT</t>
        </is>
      </c>
      <c r="F9" s="18" t="n">
        <v>4</v>
      </c>
      <c r="G9" s="18" t="inlineStr">
        <is>
          <t>2026-09-17</t>
        </is>
      </c>
      <c r="H9" s="18" t="inlineStr">
        <is>
          <t>"QKD 015" in:name,description,readme</t>
        </is>
      </c>
      <c r="I9" s="18" t="inlineStr">
        <is>
          <t>2026-10-14</t>
        </is>
      </c>
      <c r="J9" s="18" t="inlineStr"/>
      <c r="K9" s="18" t="inlineStr"/>
    </row>
    <row r="10">
      <c r="A10" s="18" t="inlineStr">
        <is>
          <t>AndresRzCh/etsi-qkd-015</t>
        </is>
      </c>
      <c r="B10" s="18" t="inlineStr">
        <is>
          <t>https://github.com/AndresRzCh/etsi-qkd-015</t>
        </is>
      </c>
      <c r="C10" s="18" t="inlineStr">
        <is>
          <t>Python implementation of ETSI GS QKD 015 (SD-QKD control interface) with SDN controller, RESTCONF nodes, and full workflow support.</t>
        </is>
      </c>
      <c r="D10" s="18" t="inlineStr">
        <is>
          <t>Python</t>
        </is>
      </c>
      <c r="E10" s="18" t="inlineStr">
        <is>
          <t>MIT</t>
        </is>
      </c>
      <c r="F10" s="18" t="n">
        <v>1</v>
      </c>
      <c r="G10" s="18" t="inlineStr">
        <is>
          <t>2026-03-21</t>
        </is>
      </c>
      <c r="H10" s="18" t="inlineStr">
        <is>
          <t>"QKD 015" in:name,description,readme</t>
        </is>
      </c>
      <c r="I10" s="18" t="inlineStr">
        <is>
          <t>2026-10-14</t>
        </is>
      </c>
      <c r="J10" s="18" t="inlineStr"/>
      <c r="K10" s="18" t="inlineStr"/>
    </row>
    <row r="11">
      <c r="A11" s="18" t="inlineStr">
        <is>
          <t>sara-star-quant/perspectra-fold</t>
        </is>
      </c>
      <c r="B11" s="18" t="inlineStr">
        <is>
          <t>https://github.com/sara-star-quant/perspectra-fold</t>
        </is>
      </c>
      <c r="C11" s="18" t="inlineStr">
        <is>
          <t>Architecture and reference research for high-dimensional QKD (qudits), hybrid quantum-classical networks, and PQC alignment (ML-KEM, ML-DSA, SLH-DSA).</t>
        </is>
      </c>
      <c r="D11" s="18" t="inlineStr">
        <is>
          <t>Go</t>
        </is>
      </c>
      <c r="E11" s="18" t="inlineStr">
        <is>
          <t>Apache-2.0</t>
        </is>
      </c>
      <c r="F11" s="18" t="n">
        <v>0</v>
      </c>
      <c r="G11" s="18" t="inlineStr">
        <is>
          <t>2026-07-24</t>
        </is>
      </c>
      <c r="H11" s="18" t="inlineStr">
        <is>
          <t>"QKD 004" in:name,description,readme</t>
        </is>
      </c>
      <c r="I11" s="18" t="inlineStr">
        <is>
          <t>2026-10-14</t>
        </is>
      </c>
      <c r="J11" s="18" t="inlineStr"/>
      <c r="K11" s="18" t="inlineStr"/>
    </row>
    <row r="12">
      <c r="A12" s="18" t="inlineStr">
        <is>
          <t>Filip2142/QKDNetSim-Reserve-Aware-QoS-for-Satellite-QKD</t>
        </is>
      </c>
      <c r="B12" s="18" t="inlineStr">
        <is>
          <t>https://github.com/Filip2142/QKDNetSim-Reserve-Aware-QoS-for-Satellite-QKD</t>
        </is>
      </c>
      <c r="C12" s="18" t="inlineStr"/>
      <c r="D12" s="18" t="inlineStr">
        <is>
          <t>C++</t>
        </is>
      </c>
      <c r="E12" s="18" t="inlineStr"/>
      <c r="F12" s="18" t="n">
        <v>0</v>
      </c>
      <c r="G12" s="18" t="inlineStr">
        <is>
          <t>2026-06-01</t>
        </is>
      </c>
      <c r="H12" s="18" t="inlineStr">
        <is>
          <t>"QKD 004" in:name,description,readme</t>
        </is>
      </c>
      <c r="I12" s="18" t="inlineStr">
        <is>
          <t>2026-10-14</t>
        </is>
      </c>
      <c r="J12" s="18" t="inlineStr"/>
      <c r="K12" s="18" t="inlineStr"/>
    </row>
    <row r="13">
      <c r="A13" s="18" t="inlineStr">
        <is>
          <t>QUBIP/hybridization-module</t>
        </is>
      </c>
      <c r="B13" s="18" t="inlineStr">
        <is>
          <t>https://github.com/QUBIP/hybridization-module</t>
        </is>
      </c>
      <c r="C13" s="18" t="inlineStr">
        <is>
          <t xml:space="preserve"> Hybrid Key Exchange module combining QKD and PQC using ETSI GS QKD 004 standard. Includes TLS setup, liboqs integration, and Docker-based infrastructure..</t>
        </is>
      </c>
      <c r="D13" s="18" t="inlineStr">
        <is>
          <t>Python</t>
        </is>
      </c>
      <c r="E13" s="18" t="inlineStr">
        <is>
          <t>Apache-2.0</t>
        </is>
      </c>
      <c r="F13" s="18" t="n">
        <v>0</v>
      </c>
      <c r="G13" s="18" t="inlineStr">
        <is>
          <t>2026-05-06</t>
        </is>
      </c>
      <c r="H13" s="18" t="inlineStr">
        <is>
          <t>"QKD 004" in:name,description,readme</t>
        </is>
      </c>
      <c r="I13" s="18" t="inlineStr">
        <is>
          <t>2026-10-14</t>
        </is>
      </c>
      <c r="J13" s="18" t="inlineStr"/>
      <c r="K13" s="18" t="inlineStr"/>
    </row>
    <row r="14">
      <c r="A14" s="18" t="inlineStr">
        <is>
          <t>Qkd004/Qkd004</t>
        </is>
      </c>
      <c r="B14" s="18" t="inlineStr">
        <is>
          <t>https://github.com/Qkd004/Qkd004</t>
        </is>
      </c>
      <c r="C14" s="18" t="inlineStr"/>
      <c r="D14" s="18" t="inlineStr"/>
      <c r="E14" s="18" t="inlineStr"/>
      <c r="F14" s="18" t="n">
        <v>0</v>
      </c>
      <c r="G14" s="18" t="inlineStr">
        <is>
          <t>2025-09-25</t>
        </is>
      </c>
      <c r="H14" s="18" t="inlineStr">
        <is>
          <t>"QKD 004" in:name,description,readme</t>
        </is>
      </c>
      <c r="I14" s="18" t="inlineStr">
        <is>
          <t>2026-10-14</t>
        </is>
      </c>
      <c r="J14" s="18" t="inlineStr"/>
      <c r="K14" s="18" t="inlineStr"/>
    </row>
    <row r="15">
      <c r="A15" s="18" t="inlineStr">
        <is>
          <t>diogoftm/minimal-etsi-qkd-004</t>
        </is>
      </c>
      <c r="B15" s="18" t="inlineStr">
        <is>
          <t>https://github.com/diogoftm/minimal-etsi-qkd-004</t>
        </is>
      </c>
      <c r="C15" s="18" t="inlineStr">
        <is>
          <t xml:space="preserve">Very simple adaptation of ETSI's QKD 004 server/client (edition3) to support oblivious key requests and minimal operations for upper-layer interface testing using the server. </t>
        </is>
      </c>
      <c r="D15" s="18" t="inlineStr">
        <is>
          <t>C</t>
        </is>
      </c>
      <c r="E15" s="18" t="inlineStr">
        <is>
          <t>BSD-3-Clause</t>
        </is>
      </c>
      <c r="F15" s="18" t="n">
        <v>0</v>
      </c>
      <c r="G15" s="18" t="inlineStr">
        <is>
          <t>2025-04-01</t>
        </is>
      </c>
      <c r="H15" s="18" t="inlineStr">
        <is>
          <t>"QKD 004" in:name,description,readme</t>
        </is>
      </c>
      <c r="I15" s="18" t="inlineStr">
        <is>
          <t>2026-10-14</t>
        </is>
      </c>
      <c r="J15" s="18" t="inlineStr"/>
      <c r="K15" s="18" t="inlineStr"/>
    </row>
    <row r="16">
      <c r="A16" s="18" t="inlineStr">
        <is>
          <t>cybermerqury/etsi-gs-qkd-020-referenceimplementation</t>
        </is>
      </c>
      <c r="B16" s="18" t="inlineStr">
        <is>
          <t>https://github.com/cybermerqury/etsi-gs-qkd-020-referenceimplementation</t>
        </is>
      </c>
      <c r="C16" s="18" t="inlineStr"/>
      <c r="D16" s="18" t="inlineStr">
        <is>
          <t>Rust</t>
        </is>
      </c>
      <c r="E16" s="18" t="inlineStr">
        <is>
          <t>AGPL-3.0</t>
        </is>
      </c>
      <c r="F16" s="18" t="n">
        <v>0</v>
      </c>
      <c r="G16" s="18" t="inlineStr">
        <is>
          <t>2026-09-15</t>
        </is>
      </c>
      <c r="H16" s="18" t="inlineStr">
        <is>
          <t>"QKD 020" in:name,description,readme</t>
        </is>
      </c>
      <c r="I16" s="18" t="inlineStr">
        <is>
          <t>2026-10-14</t>
        </is>
      </c>
      <c r="J16" s="18" t="inlineStr"/>
      <c r="K16" s="18" t="inlineStr"/>
    </row>
    <row r="17">
      <c r="A17" s="18" t="inlineStr">
        <is>
          <t>adrianML7t/TFG</t>
        </is>
      </c>
      <c r="B17" s="18" t="inlineStr">
        <is>
          <t>https://github.com/adrianML7t/TFG</t>
        </is>
      </c>
      <c r="C17" s="18" t="inlineStr">
        <is>
          <t>RESTful API based on ETSI GS QKD 020</t>
        </is>
      </c>
      <c r="D17" s="18" t="inlineStr">
        <is>
          <t>Python</t>
        </is>
      </c>
      <c r="E17" s="18" t="inlineStr">
        <is>
          <t>MIT</t>
        </is>
      </c>
      <c r="F17" s="18" t="n">
        <v>1</v>
      </c>
      <c r="G17" s="18" t="inlineStr">
        <is>
          <t>2025-08-25</t>
        </is>
      </c>
      <c r="H17" s="18" t="inlineStr">
        <is>
          <t>"QKD 020" in:name,description,readme</t>
        </is>
      </c>
      <c r="I17" s="18" t="inlineStr">
        <is>
          <t>2026-10-14</t>
        </is>
      </c>
      <c r="J17" s="18" t="inlineStr"/>
      <c r="K17" s="18" t="inlineStr"/>
    </row>
    <row r="18">
      <c r="A18" s="18" t="inlineStr">
        <is>
          <t>next-door-key/qkd-trusted-node</t>
        </is>
      </c>
      <c r="B18" s="18" t="inlineStr">
        <is>
          <t>https://github.com/next-door-key/qkd-trusted-node</t>
        </is>
      </c>
      <c r="C18" s="18" t="inlineStr">
        <is>
          <t>QKD KMS system implementation that allows key sharing beyond 1 QKD link</t>
        </is>
      </c>
      <c r="D18" s="18" t="inlineStr">
        <is>
          <t>Python</t>
        </is>
      </c>
      <c r="E18" s="18" t="inlineStr">
        <is>
          <t>AGPL-3.0</t>
        </is>
      </c>
      <c r="F18" s="18" t="n">
        <v>7</v>
      </c>
      <c r="G18" s="18" t="inlineStr">
        <is>
          <t>2025-01-03</t>
        </is>
      </c>
      <c r="H18" s="18" t="inlineStr">
        <is>
          <t>"QKD 020" in:name,description,readme</t>
        </is>
      </c>
      <c r="I18" s="18" t="inlineStr">
        <is>
          <t>2026-10-14</t>
        </is>
      </c>
      <c r="J18" s="18" t="inlineStr"/>
      <c r="K18" s="18" t="inlineStr"/>
    </row>
    <row r="19">
      <c r="A19" s="18" t="inlineStr">
        <is>
          <t>josephofir/resilient-qkd-macsec</t>
        </is>
      </c>
      <c r="B19" s="18" t="inlineStr">
        <is>
          <t>https://github.com/josephofir/resilient-qkd-macsec</t>
        </is>
      </c>
      <c r="C19" s="18" t="inlineStr">
        <is>
          <t>Resilient QKD Integration with MACsec — proof-of-concept KME emulator, MKA with a QKD_Key_Id TLV, and an overhead measurement harness</t>
        </is>
      </c>
      <c r="D19" s="18" t="inlineStr">
        <is>
          <t>Python</t>
        </is>
      </c>
      <c r="E19" s="18" t="inlineStr"/>
      <c r="F19" s="18" t="n">
        <v>0</v>
      </c>
      <c r="G19" s="18" t="inlineStr">
        <is>
          <t>2026-08-21</t>
        </is>
      </c>
      <c r="H19" s="18" t="inlineStr">
        <is>
          <t>qkd kme in:name,description</t>
        </is>
      </c>
      <c r="I19" s="18" t="inlineStr">
        <is>
          <t>2026-10-14</t>
        </is>
      </c>
      <c r="J19" s="18" t="inlineStr"/>
      <c r="K19" s="18" t="inlineStr"/>
    </row>
    <row r="20">
      <c r="A20" s="18" t="inlineStr">
        <is>
          <t>John-Jepsen/qkdsec</t>
        </is>
      </c>
      <c r="B20" s="18" t="inlineStr">
        <is>
          <t>https://github.com/John-Jepsen/qkdsec</t>
        </is>
      </c>
      <c r="C20" s="18" t="inlineStr">
        <is>
          <t>A developer toolkit for Quantum Key Distribution: ETSI GS QKD 014 client (sync + async), KME conformance probe, BB84 simulation, numerical security proofs</t>
        </is>
      </c>
      <c r="D20" s="18" t="inlineStr">
        <is>
          <t>Python</t>
        </is>
      </c>
      <c r="E20" s="18" t="inlineStr"/>
      <c r="F20" s="18" t="n">
        <v>1</v>
      </c>
      <c r="G20" s="18" t="inlineStr">
        <is>
          <t>2026-07-15</t>
        </is>
      </c>
      <c r="H20" s="18" t="inlineStr">
        <is>
          <t>qkd kme in:name,description</t>
        </is>
      </c>
      <c r="I20" s="18" t="inlineStr">
        <is>
          <t>2026-10-14</t>
        </is>
      </c>
      <c r="J20" s="18" t="inlineStr"/>
      <c r="K20" s="18" t="inlineStr"/>
    </row>
    <row r="21">
      <c r="A21" s="18" t="inlineStr">
        <is>
          <t>jhhdez/qkdPlugin</t>
        </is>
      </c>
      <c r="B21" s="18" t="inlineStr">
        <is>
          <t>https://github.com/jhhdez/qkdPlugin</t>
        </is>
      </c>
      <c r="C21" s="18" t="inlineStr">
        <is>
          <t>QKD Strongswan plugin for rfc 9370 with a KME graceful-degradation mechanism.</t>
        </is>
      </c>
      <c r="D21" s="18" t="inlineStr">
        <is>
          <t>C</t>
        </is>
      </c>
      <c r="E21" s="18" t="inlineStr"/>
      <c r="F21" s="18" t="n">
        <v>0</v>
      </c>
      <c r="G21" s="18" t="inlineStr">
        <is>
          <t>2026-07-07</t>
        </is>
      </c>
      <c r="H21" s="18" t="inlineStr">
        <is>
          <t>qkd kme in:name,description</t>
        </is>
      </c>
      <c r="I21" s="18" t="inlineStr">
        <is>
          <t>2026-10-14</t>
        </is>
      </c>
      <c r="J21" s="18" t="inlineStr"/>
      <c r="K21" s="18" t="inlineStr"/>
    </row>
    <row r="22">
      <c r="A22" s="18" t="inlineStr">
        <is>
          <t>vmosescu/QKD-Infra</t>
        </is>
      </c>
      <c r="B22" s="18" t="inlineStr">
        <is>
          <t>https://github.com/vmosescu/QKD-Infra</t>
        </is>
      </c>
      <c r="C22" s="18" t="inlineStr">
        <is>
          <t>Key Management Entity (KME) Simulator</t>
        </is>
      </c>
      <c r="D22" s="18" t="inlineStr">
        <is>
          <t>Java</t>
        </is>
      </c>
      <c r="E22" s="18" t="inlineStr"/>
      <c r="F22" s="18" t="n">
        <v>0</v>
      </c>
      <c r="G22" s="18" t="inlineStr">
        <is>
          <t>2024-11-22</t>
        </is>
      </c>
      <c r="H22" s="18" t="inlineStr">
        <is>
          <t>qkd kme in:name,description</t>
        </is>
      </c>
      <c r="I22" s="18" t="inlineStr">
        <is>
          <t>2026-10-14</t>
        </is>
      </c>
      <c r="J22" s="18" t="inlineStr"/>
      <c r="K22" s="18" t="inlineStr"/>
    </row>
    <row r="23">
      <c r="A23" s="18" t="inlineStr">
        <is>
          <t>ganiganesh25/qkdnetsim-mini</t>
        </is>
      </c>
      <c r="B23" s="18" t="inlineStr">
        <is>
          <t>https://github.com/ganiganesh25/qkdnetsim-mini</t>
        </is>
      </c>
      <c r="C23" s="18" t="inlineStr">
        <is>
          <t>Minimal QKD network simulator with a Flask ETSI GS QKD 014 KMS and structured log emitters</t>
        </is>
      </c>
      <c r="D23" s="18" t="inlineStr">
        <is>
          <t>Python</t>
        </is>
      </c>
      <c r="E23" s="18" t="inlineStr">
        <is>
          <t>MIT</t>
        </is>
      </c>
      <c r="F23" s="18" t="n">
        <v>0</v>
      </c>
      <c r="G23" s="18" t="inlineStr">
        <is>
          <t>2026-08-02</t>
        </is>
      </c>
      <c r="H23" s="18" t="inlineStr">
        <is>
          <t>qkd kms in:name,description</t>
        </is>
      </c>
      <c r="I23" s="18" t="inlineStr">
        <is>
          <t>2026-10-14</t>
        </is>
      </c>
      <c r="J23" s="18" t="inlineStr"/>
      <c r="K23" s="18" t="inlineStr"/>
    </row>
    <row r="24">
      <c r="A24" s="18" t="inlineStr">
        <is>
          <t>syndpk/hybrid-pqc-qkd-kms-logs</t>
        </is>
      </c>
      <c r="B24" s="18" t="inlineStr">
        <is>
          <t>https://github.com/syndpk/hybrid-pqc-qkd-kms-logs</t>
        </is>
      </c>
      <c r="C24" s="18" t="inlineStr">
        <is>
          <t>Structured JSON-line logs from the Key Management System (KMS) of a deployed hybrid Post-Quantum Cryptography (PQC) and Quantum Key Distribution (QKD) pilot, including key-delivery, VPN-transfer, QKD-pool, and application telemetry.</t>
        </is>
      </c>
      <c r="D24" s="18" t="inlineStr"/>
      <c r="E24" s="18" t="inlineStr"/>
      <c r="F24" s="18" t="n">
        <v>0</v>
      </c>
      <c r="G24" s="18" t="inlineStr">
        <is>
          <t>2026-05-27</t>
        </is>
      </c>
      <c r="H24" s="18" t="inlineStr">
        <is>
          <t>qkd kms in:name,description</t>
        </is>
      </c>
      <c r="I24" s="18" t="inlineStr">
        <is>
          <t>2026-10-14</t>
        </is>
      </c>
      <c r="J24" s="18" t="inlineStr"/>
      <c r="K24" s="18" t="inlineStr"/>
    </row>
    <row r="25">
      <c r="A25" s="18" t="inlineStr">
        <is>
          <t>LUMII-Syslab/sgx-qkms</t>
        </is>
      </c>
      <c r="B25" s="18" t="inlineStr">
        <is>
          <t>https://github.com/LUMII-Syslab/sgx-qkms</t>
        </is>
      </c>
      <c r="C25" s="18" t="inlineStr">
        <is>
          <t>Intel SGX protected Q-KMS. Remotely-attested OTP key relaying in QKD networks. ETSI GS QKD 014 API.</t>
        </is>
      </c>
      <c r="D25" s="18" t="inlineStr">
        <is>
          <t>Rust</t>
        </is>
      </c>
      <c r="E25" s="18" t="inlineStr">
        <is>
          <t>MPL-2.0</t>
        </is>
      </c>
      <c r="F25" s="18" t="n">
        <v>0</v>
      </c>
      <c r="G25" s="18" t="inlineStr">
        <is>
          <t>2026-02-26</t>
        </is>
      </c>
      <c r="H25" s="18" t="inlineStr">
        <is>
          <t>qkd kms in:name,description</t>
        </is>
      </c>
      <c r="I25" s="18" t="inlineStr">
        <is>
          <t>2026-10-14</t>
        </is>
      </c>
      <c r="J25" s="18" t="inlineStr"/>
      <c r="K25" s="18" t="inlineStr"/>
    </row>
    <row r="26">
      <c r="A26" s="18" t="inlineStr">
        <is>
          <t>cyriltan/QKDFileEncryptApp</t>
        </is>
      </c>
      <c r="B26" s="18" t="inlineStr">
        <is>
          <t>https://github.com/cyriltan/QKDFileEncryptApp</t>
        </is>
      </c>
      <c r="C26" s="18" t="inlineStr">
        <is>
          <t>This code seeks to demonstrate how one can pull QKD keys from the Toshiba KMS emulator using ETSI GS QKD 014 interface and using the keys to encrypt a file. It further demonstrates how one can generate a digital signature on the encrypted file using PQC algorithm ML-DSA.</t>
        </is>
      </c>
      <c r="D26" s="18" t="inlineStr">
        <is>
          <t>Python</t>
        </is>
      </c>
      <c r="E26" s="18" t="inlineStr"/>
      <c r="F26" s="18" t="n">
        <v>0</v>
      </c>
      <c r="G26" s="18" t="inlineStr">
        <is>
          <t>2025-10-09</t>
        </is>
      </c>
      <c r="H26" s="18" t="inlineStr">
        <is>
          <t>qkd kms in:name,description</t>
        </is>
      </c>
      <c r="I26" s="18" t="inlineStr">
        <is>
          <t>2026-10-14</t>
        </is>
      </c>
      <c r="J26" s="18" t="inlineStr"/>
      <c r="K26" s="18" t="inlineStr"/>
    </row>
    <row r="27">
      <c r="A27" s="18" t="inlineStr">
        <is>
          <t>SAMIYE/QKD-Interoperable-KMS-API</t>
        </is>
      </c>
      <c r="B27" s="18" t="inlineStr">
        <is>
          <t>https://github.com/SAMIYE/QKD-Interoperable-KMS-API</t>
        </is>
      </c>
      <c r="C27" s="18" t="inlineStr"/>
      <c r="D27" s="18" t="inlineStr">
        <is>
          <t>Python</t>
        </is>
      </c>
      <c r="E27" s="18" t="inlineStr"/>
      <c r="F27" s="18" t="n">
        <v>0</v>
      </c>
      <c r="G27" s="18" t="inlineStr">
        <is>
          <t>2025-04-01</t>
        </is>
      </c>
      <c r="H27" s="18" t="inlineStr">
        <is>
          <t>qkd kms in:name,description</t>
        </is>
      </c>
      <c r="I27" s="18" t="inlineStr">
        <is>
          <t>2026-10-14</t>
        </is>
      </c>
      <c r="J27" s="18" t="inlineStr"/>
      <c r="K27" s="18" t="inlineStr"/>
    </row>
    <row r="28">
      <c r="A28" s="18" t="inlineStr">
        <is>
          <t>ikiu99/qkd-sdn-graded-containment</t>
        </is>
      </c>
      <c r="B28" s="18" t="inlineStr">
        <is>
          <t>https://github.com/ikiu99/qkd-sdn-graded-containment</t>
        </is>
      </c>
      <c r="C28" s="18" t="inlineStr">
        <is>
          <t>Graded detection and containment of compromised trusted relays in software-defined QKD networks: simulator, sweeps and the results behind the paper</t>
        </is>
      </c>
      <c r="D28" s="18" t="inlineStr">
        <is>
          <t>Python</t>
        </is>
      </c>
      <c r="E28" s="18" t="inlineStr">
        <is>
          <t>MIT</t>
        </is>
      </c>
      <c r="F28" s="18" t="n">
        <v>0</v>
      </c>
      <c r="G28" s="18" t="inlineStr">
        <is>
          <t>2026-09-20</t>
        </is>
      </c>
      <c r="H28" s="18" t="inlineStr">
        <is>
          <t>qkd sdn in:name,description</t>
        </is>
      </c>
      <c r="I28" s="18" t="inlineStr">
        <is>
          <t>2026-10-14</t>
        </is>
      </c>
      <c r="J28" s="18" t="inlineStr"/>
      <c r="K28" s="18" t="inlineStr"/>
    </row>
    <row r="29">
      <c r="A29" s="18" t="inlineStr">
        <is>
          <t>Andryd22/SDN-QKD</t>
        </is>
      </c>
      <c r="B29" s="18" t="inlineStr">
        <is>
          <t>https://github.com/Andryd22/SDN-QKD</t>
        </is>
      </c>
      <c r="C29" s="18" t="inlineStr">
        <is>
          <t>Implementation of an SDN-enhanced digital twin for QKD networks</t>
        </is>
      </c>
      <c r="D29" s="18" t="inlineStr">
        <is>
          <t>Java</t>
        </is>
      </c>
      <c r="E29" s="18" t="inlineStr">
        <is>
          <t>Apache-2.0</t>
        </is>
      </c>
      <c r="F29" s="18" t="n">
        <v>1</v>
      </c>
      <c r="G29" s="18" t="inlineStr">
        <is>
          <t>2026-04-15</t>
        </is>
      </c>
      <c r="H29" s="18" t="inlineStr">
        <is>
          <t>qkd sdn in:name,description</t>
        </is>
      </c>
      <c r="I29" s="18" t="inlineStr">
        <is>
          <t>2026-10-14</t>
        </is>
      </c>
      <c r="J29" s="18" t="inlineStr"/>
      <c r="K29" s="18" t="inlineStr"/>
    </row>
    <row r="30">
      <c r="A30" s="18" t="inlineStr">
        <is>
          <t>raied11/RAIED</t>
        </is>
      </c>
      <c r="B30" s="18" t="inlineStr">
        <is>
          <t>https://github.com/raied11/RAIED</t>
        </is>
      </c>
      <c r="C30" s="18" t="inlineStr">
        <is>
          <t>Personal projects and hands-on experiments covering IoT, SDN, Raspberry Pi, Arduino, QKD, security, and cybersecurity.</t>
        </is>
      </c>
      <c r="D30" s="18" t="inlineStr"/>
      <c r="E30" s="18" t="inlineStr"/>
      <c r="F30" s="18" t="n">
        <v>0</v>
      </c>
      <c r="G30" s="18" t="inlineStr">
        <is>
          <t>2026-01-22</t>
        </is>
      </c>
      <c r="H30" s="18" t="inlineStr">
        <is>
          <t>qkd sdn in:name,description</t>
        </is>
      </c>
      <c r="I30" s="18" t="inlineStr">
        <is>
          <t>2026-10-14</t>
        </is>
      </c>
      <c r="J30" s="18" t="inlineStr"/>
      <c r="K30" s="18" t="inlineStr"/>
    </row>
    <row r="31">
      <c r="A31" s="18" t="inlineStr">
        <is>
          <t>gianniniluca/Containerize-onos-controller</t>
        </is>
      </c>
      <c r="B31" s="18" t="inlineStr">
        <is>
          <t>https://github.com/gianniniluca/Containerize-onos-controller</t>
        </is>
      </c>
      <c r="C31" s="18" t="inlineStr">
        <is>
          <t xml:space="preserve">A containerized SDN controller for QKD networks: The objective of this repo is to containerize the ONOS controller within a Docker environment using a recent Linux distribution and to demonstrate its functionality through simple applications. </t>
        </is>
      </c>
      <c r="D31" s="18" t="inlineStr">
        <is>
          <t>Java</t>
        </is>
      </c>
      <c r="E31" s="18" t="inlineStr">
        <is>
          <t>Apache-2.0</t>
        </is>
      </c>
      <c r="F31" s="18" t="n">
        <v>0</v>
      </c>
      <c r="G31" s="18" t="inlineStr">
        <is>
          <t>2025-10-13</t>
        </is>
      </c>
      <c r="H31" s="18" t="inlineStr">
        <is>
          <t>qkd sdn in:name,description</t>
        </is>
      </c>
      <c r="I31" s="18" t="inlineStr">
        <is>
          <t>2026-10-14</t>
        </is>
      </c>
      <c r="J31" s="18" t="inlineStr"/>
      <c r="K31" s="18" t="inlineStr"/>
    </row>
    <row r="32">
      <c r="A32" s="18" t="inlineStr">
        <is>
          <t>Abbey-12/qkd-sdn-api</t>
        </is>
      </c>
      <c r="B32" s="18" t="inlineStr">
        <is>
          <t>https://github.com/Abbey-12/qkd-sdn-api</t>
        </is>
      </c>
      <c r="C32" s="18" t="inlineStr"/>
      <c r="D32" s="18" t="inlineStr">
        <is>
          <t>Python</t>
        </is>
      </c>
      <c r="E32" s="18" t="inlineStr">
        <is>
          <t>BSD-3-Clause</t>
        </is>
      </c>
      <c r="F32" s="18" t="n">
        <v>0</v>
      </c>
      <c r="G32" s="18" t="inlineStr">
        <is>
          <t>2025-03-21</t>
        </is>
      </c>
      <c r="H32" s="18" t="inlineStr">
        <is>
          <t>qkd sdn in:name,description</t>
        </is>
      </c>
      <c r="I32" s="18" t="inlineStr">
        <is>
          <t>2026-10-14</t>
        </is>
      </c>
      <c r="J32" s="18" t="inlineStr"/>
      <c r="K32" s="18" t="inlineStr"/>
    </row>
    <row r="33">
      <c r="A33" s="18" t="inlineStr">
        <is>
          <t>sajjanmdb123-cmd/SeQUeNCe_BB84_LM05_Comparison</t>
        </is>
      </c>
      <c r="B33" s="18" t="inlineStr">
        <is>
          <t>https://github.com/sajjanmdb123-cmd/SeQUeNCe_BB84_LM05_Comparison</t>
        </is>
      </c>
      <c r="C33" s="18" t="inlineStr">
        <is>
          <t>A Python-based comparison of BB84 and LM05 quantum key distribution protocols using the SeQUeNCe quantum network simulator.</t>
        </is>
      </c>
      <c r="D33" s="18" t="inlineStr">
        <is>
          <t>Jupyter Notebook</t>
        </is>
      </c>
      <c r="E33" s="18" t="inlineStr"/>
      <c r="F33" s="18" t="n">
        <v>0</v>
      </c>
      <c r="G33" s="18" t="inlineStr">
        <is>
          <t>2026-09-12</t>
        </is>
      </c>
      <c r="H33" s="18" t="inlineStr">
        <is>
          <t>quantum key distribution network simulator in:name,description</t>
        </is>
      </c>
      <c r="I33" s="18" t="inlineStr">
        <is>
          <t>2026-10-14</t>
        </is>
      </c>
      <c r="J33" s="18" t="inlineStr"/>
      <c r="K33" s="18" t="inlineStr"/>
    </row>
    <row r="34">
      <c r="A34" s="18" t="inlineStr">
        <is>
          <t>qurbanaliq/qkdSim</t>
        </is>
      </c>
      <c r="B34" s="18" t="inlineStr">
        <is>
          <t>https://github.com/qurbanaliq/qkdSim</t>
        </is>
      </c>
      <c r="C34" s="18" t="inlineStr">
        <is>
          <t>Quantum Key Distribution network simulator, it was part of my university thesis on Trust Relay based Quantum Key Distribution, showing that the existing routing scheme at the time had significant packet loss, where as my scheme reduced the packet loss significantly.</t>
        </is>
      </c>
      <c r="D34" s="18" t="inlineStr">
        <is>
          <t>Python</t>
        </is>
      </c>
      <c r="E34" s="18" t="inlineStr"/>
      <c r="F34" s="18" t="n">
        <v>0</v>
      </c>
      <c r="G34" s="18" t="inlineStr">
        <is>
          <t>2025-05-27</t>
        </is>
      </c>
      <c r="H34" s="18" t="inlineStr">
        <is>
          <t>quantum key distribution network simulator in:name,description</t>
        </is>
      </c>
      <c r="I34" s="18" t="inlineStr">
        <is>
          <t>2026-10-14</t>
        </is>
      </c>
      <c r="J34" s="18" t="inlineStr"/>
      <c r="K34" s="18" t="inlineStr"/>
    </row>
    <row r="35">
      <c r="A35" s="18" t="inlineStr">
        <is>
          <t>Vishnupriya-saji/Sequence---Quantum-Mechanics-simulator</t>
        </is>
      </c>
      <c r="B35" s="18" t="inlineStr">
        <is>
          <t>https://github.com/Vishnupriya-saji/Sequence---Quantum-Mechanics-simulator</t>
        </is>
      </c>
      <c r="C35" s="18" t="inlineStr">
        <is>
          <t>🧪 SeQUeNCe is a quantum network simulator designed to model and test quantum communication protocols like entanglement distribution and quantum key exchange.</t>
        </is>
      </c>
      <c r="D35" s="18" t="inlineStr">
        <is>
          <t>Makefile</t>
        </is>
      </c>
      <c r="E35" s="18" t="inlineStr"/>
      <c r="F35" s="18" t="n">
        <v>0</v>
      </c>
      <c r="G35" s="18" t="inlineStr">
        <is>
          <t>2024-10-30</t>
        </is>
      </c>
      <c r="H35" s="18" t="inlineStr">
        <is>
          <t>quantum key distribution network simulator in:name,description</t>
        </is>
      </c>
      <c r="I35" s="18" t="inlineStr">
        <is>
          <t>2026-10-14</t>
        </is>
      </c>
      <c r="J35" s="18" t="inlineStr"/>
      <c r="K35" s="18" t="inlineStr"/>
    </row>
    <row r="36">
      <c r="A36" s="18" t="inlineStr">
        <is>
          <t>Peti0918/SatelliteCommunication</t>
        </is>
      </c>
      <c r="B36" s="18" t="inlineStr">
        <is>
          <t>https://github.com/Peti0918/SatelliteCommunication</t>
        </is>
      </c>
      <c r="C36" s="18" t="inlineStr">
        <is>
          <t>Python simulator for modeling and visualizing time-varying satellite quantum communication and QKD networks.</t>
        </is>
      </c>
      <c r="D36" s="18" t="inlineStr">
        <is>
          <t>Python</t>
        </is>
      </c>
      <c r="E36" s="18" t="inlineStr"/>
      <c r="F36" s="18" t="n">
        <v>0</v>
      </c>
      <c r="G36" s="18" t="inlineStr">
        <is>
          <t>2026-09-07</t>
        </is>
      </c>
      <c r="H36" s="18" t="inlineStr">
        <is>
          <t>topic:qkd</t>
        </is>
      </c>
      <c r="I36" s="18" t="inlineStr">
        <is>
          <t>2026-10-14</t>
        </is>
      </c>
      <c r="J36" s="18" t="inlineStr"/>
      <c r="K36" s="18" t="inlineStr"/>
    </row>
    <row r="37">
      <c r="A37" s="18" t="inlineStr">
        <is>
          <t>api-evangelist/aliro-quantum</t>
        </is>
      </c>
      <c r="B37" s="18" t="inlineStr">
        <is>
          <t>https://github.com/api-evangelist/aliro-quantum</t>
        </is>
      </c>
      <c r="C37" s="18" t="inlineStr">
        <is>
          <t>Aliro Quantum — independent third-party profile of a public API surface, by API Evangelist. Aliro Quantum (branded "Aliro, The Quantum Networking Company") is a Boston-based, Harvard spin-out building full-stack software for entanglement-based quantum networks. Its platform unifies three core produc</t>
        </is>
      </c>
      <c r="D37" s="18" t="inlineStr"/>
      <c r="E37" s="18" t="inlineStr"/>
      <c r="F37" s="18" t="n">
        <v>0</v>
      </c>
      <c r="G37" s="18" t="inlineStr">
        <is>
          <t>2026-10-16</t>
        </is>
      </c>
      <c r="H37" s="18" t="inlineStr">
        <is>
          <t>topic:quantum-key-distribution</t>
        </is>
      </c>
      <c r="I37" s="18" t="inlineStr">
        <is>
          <t>2026-10-14</t>
        </is>
      </c>
      <c r="J37" s="18" t="inlineStr"/>
      <c r="K37" s="18" t="inlineStr"/>
    </row>
    <row r="38">
      <c r="A38" s="18" t="inlineStr">
        <is>
          <t>hamamh66/FreeEnergy-QKD-PQC-STIN</t>
        </is>
      </c>
      <c r="B38" s="18" t="inlineStr">
        <is>
          <t>https://github.com/hamamh66/FreeEnergy-QKD-PQC-STIN</t>
        </is>
      </c>
      <c r="C38" s="18" t="inlineStr">
        <is>
          <t>Reproducible simulation for free-energy-based stability and secure resource orchestration in hybrid QKD–PQC satellite–terrestrial networks: SCI/SDI indices, seven allocation methods, 30-seed stress scenarios, ablation and sensitivity analysis.</t>
        </is>
      </c>
      <c r="D38" s="18" t="inlineStr">
        <is>
          <t>Jupyter Notebook</t>
        </is>
      </c>
      <c r="E38" s="18" t="inlineStr">
        <is>
          <t>MIT</t>
        </is>
      </c>
      <c r="F38" s="18" t="n">
        <v>0</v>
      </c>
      <c r="G38" s="18" t="inlineStr">
        <is>
          <t>2026-10-01</t>
        </is>
      </c>
      <c r="H38" s="18" t="inlineStr">
        <is>
          <t>topic:quantum-key-distribution</t>
        </is>
      </c>
      <c r="I38" s="18" t="inlineStr">
        <is>
          <t>2026-10-14</t>
        </is>
      </c>
      <c r="J38" s="18" t="inlineStr"/>
      <c r="K38" s="18" t="inlineStr"/>
    </row>
    <row r="39">
      <c r="A39" s="18" t="inlineStr">
        <is>
          <t>qkd/gs020-interop-kms</t>
        </is>
      </c>
      <c r="B39" s="18" t="inlineStr">
        <is>
          <t>https://forge.etsi.org/rep/qkd/gs020-interop-kms</t>
        </is>
      </c>
      <c r="C39" s="18" t="inlineStr">
        <is>
          <t>OpenAPI description for ETSI GS QKD 020, Interoperable Key Management System API</t>
        </is>
      </c>
      <c r="D39" s="18" t="inlineStr"/>
      <c r="E39" s="18" t="inlineStr"/>
      <c r="F39" s="18" t="n">
        <v>0</v>
      </c>
      <c r="G39" s="18" t="inlineStr">
        <is>
          <t>2026-06-29</t>
        </is>
      </c>
      <c r="H39" s="18" t="inlineStr">
        <is>
          <t>qkd</t>
        </is>
      </c>
      <c r="I39" s="18" t="inlineStr">
        <is>
          <t>2026-10-14</t>
        </is>
      </c>
      <c r="J39" s="18" t="inlineStr"/>
      <c r="K39" s="18" t="inlineStr"/>
      <c r="L39" s="18" t="inlineStr">
        <is>
          <t>GitLab (forge.etsi.org/rep)</t>
        </is>
      </c>
    </row>
    <row r="40">
      <c r="A40" s="18" t="inlineStr">
        <is>
          <t>qkd/gs015-ctrl-int-sdn</t>
        </is>
      </c>
      <c r="B40" s="18" t="inlineStr">
        <is>
          <t>https://forge.etsi.org/rep/qkd/gs015-ctrl-int-sdn</t>
        </is>
      </c>
      <c r="C40" s="18" t="inlineStr">
        <is>
          <t>YANG model for ETSI GS QKD 015, specification of management interfaces between SDN-enabled QKD node and SDN controller</t>
        </is>
      </c>
      <c r="D40" s="18" t="inlineStr"/>
      <c r="E40" s="18" t="inlineStr"/>
      <c r="F40" s="18" t="n">
        <v>1</v>
      </c>
      <c r="G40" s="18" t="inlineStr">
        <is>
          <t>2026-05-29</t>
        </is>
      </c>
      <c r="H40" s="18" t="inlineStr">
        <is>
          <t>qkd</t>
        </is>
      </c>
      <c r="I40" s="18" t="inlineStr">
        <is>
          <t>2026-10-14</t>
        </is>
      </c>
      <c r="J40" s="18" t="inlineStr"/>
      <c r="K40" s="18" t="inlineStr"/>
      <c r="L40" s="18" t="inlineStr">
        <is>
          <t>GitLab (forge.etsi.org/rep)</t>
        </is>
      </c>
    </row>
    <row r="41">
      <c r="A41" s="18" t="inlineStr">
        <is>
          <t>qkd/gs004-app-int</t>
        </is>
      </c>
      <c r="B41" s="18" t="inlineStr">
        <is>
          <t>https://forge.etsi.org/rep/qkd/gs004-app-int</t>
        </is>
      </c>
      <c r="C41" s="18" t="inlineStr">
        <is>
          <t>Sample implementations for ETSI GS QKD 004, specification of QKD Application Interface</t>
        </is>
      </c>
      <c r="D41" s="18" t="inlineStr"/>
      <c r="E41" s="18" t="inlineStr"/>
      <c r="F41" s="18" t="n">
        <v>0</v>
      </c>
      <c r="G41" s="18" t="inlineStr">
        <is>
          <t>2026-05-22</t>
        </is>
      </c>
      <c r="H41" s="18" t="inlineStr">
        <is>
          <t>qkd</t>
        </is>
      </c>
      <c r="I41" s="18" t="inlineStr">
        <is>
          <t>2026-10-14</t>
        </is>
      </c>
      <c r="J41" s="18" t="inlineStr"/>
      <c r="K41" s="18" t="inlineStr"/>
      <c r="L41" s="18" t="inlineStr">
        <is>
          <t>GitLab (forge.etsi.org/rep)</t>
        </is>
      </c>
    </row>
    <row r="42">
      <c r="A42" s="18" t="inlineStr">
        <is>
          <t>qkd/gs014-key-deliv</t>
        </is>
      </c>
      <c r="B42" s="18" t="inlineStr">
        <is>
          <t>https://forge.etsi.org/rep/qkd/gs014-key-deliv</t>
        </is>
      </c>
      <c r="C42" s="18" t="inlineStr">
        <is>
          <t>OpenAPI description for ETSI GS QKD 014, QKD Key delivery API</t>
        </is>
      </c>
      <c r="D42" s="18" t="inlineStr"/>
      <c r="E42" s="18" t="inlineStr"/>
      <c r="F42" s="18" t="n">
        <v>1</v>
      </c>
      <c r="G42" s="18" t="inlineStr">
        <is>
          <t>2025-11-26</t>
        </is>
      </c>
      <c r="H42" s="18" t="inlineStr">
        <is>
          <t>qkd</t>
        </is>
      </c>
      <c r="I42" s="18" t="inlineStr">
        <is>
          <t>2026-10-14</t>
        </is>
      </c>
      <c r="J42" s="18" t="inlineStr"/>
      <c r="K42" s="18" t="inlineStr"/>
      <c r="L42" s="18" t="inlineStr">
        <is>
          <t>GitLab (forge.etsi.org/rep)</t>
        </is>
      </c>
    </row>
    <row r="43">
      <c r="A43" t="inlineStr">
        <is>
          <t>jlorenz-eng/qkd-security-standardization</t>
        </is>
      </c>
      <c r="B43" t="inlineStr">
        <is>
          <t>https://github.com/jlorenz-eng/qkd-security-standardization</t>
        </is>
      </c>
      <c r="C43" t="inlineStr">
        <is>
          <t>Comparative analysis of ISO/IEC 23837-1 and ETSI GS QKD 016 based on the Common Criteria security evaluation framework.</t>
        </is>
      </c>
      <c r="D43" t="inlineStr"/>
      <c r="E43" t="inlineStr"/>
      <c r="F43" t="n">
        <v>0</v>
      </c>
      <c r="G43" t="inlineStr">
        <is>
          <t>2026-10-19</t>
        </is>
      </c>
      <c r="H43" t="inlineStr">
        <is>
          <t>"ETSI GS QKD" in:name,description,readme</t>
        </is>
      </c>
      <c r="I43" t="inlineStr">
        <is>
          <t>2026-10-19</t>
        </is>
      </c>
      <c r="J43" t="inlineStr"/>
      <c r="K43" t="inlineStr"/>
      <c r="L43" t="inlineStr">
        <is>
          <t>GitHub</t>
        </is>
      </c>
    </row>
    <row r="44">
      <c r="A44" t="inlineStr">
        <is>
          <t>Paraxiom/pq-transport-gateway</t>
        </is>
      </c>
      <c r="B44" t="inlineStr">
        <is>
          <t>https://github.com/Paraxiom/pq-transport-gateway</t>
        </is>
      </c>
      <c r="C44" t="inlineStr">
        <is>
          <t>Post-Quantum Transport Gateway — PQC-hardens the ETSI GS QKD 014 QKD key-delivery channel. MIT/Apache-2.0.</t>
        </is>
      </c>
      <c r="D44" t="inlineStr">
        <is>
          <t>Rust</t>
        </is>
      </c>
      <c r="E44" t="inlineStr"/>
      <c r="F44" t="n">
        <v>1</v>
      </c>
      <c r="G44" t="inlineStr">
        <is>
          <t>2026-10-15</t>
        </is>
      </c>
      <c r="H44" t="inlineStr">
        <is>
          <t>"ETSI GS QKD" in:name,description,readme</t>
        </is>
      </c>
      <c r="I44" t="inlineStr">
        <is>
          <t>2026-10-19</t>
        </is>
      </c>
      <c r="J44" t="inlineStr"/>
      <c r="K44" t="inlineStr"/>
      <c r="L44" t="inlineStr">
        <is>
          <t>GitHub</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sheetData>
    <row r="1">
      <c r="A1" s="37" t="inlineStr">
        <is>
          <t>Date</t>
        </is>
      </c>
      <c r="B1" s="37" t="inlineStr">
        <is>
          <t>Tool</t>
        </is>
      </c>
      <c r="C1" s="37" t="inlineStr">
        <is>
          <t>Field</t>
        </is>
      </c>
      <c r="D1" s="37" t="inlineStr">
        <is>
          <t>Old value</t>
        </is>
      </c>
      <c r="E1" s="37" t="inlineStr">
        <is>
          <t>New value</t>
        </is>
      </c>
    </row>
    <row r="2">
      <c r="A2" s="18" t="inlineStr">
        <is>
          <t>2026-10-14</t>
        </is>
      </c>
      <c r="B2" s="18" t="inlineStr">
        <is>
          <t>qkd_kme_server</t>
        </is>
      </c>
      <c r="C2" s="18" t="inlineStr">
        <is>
          <t>Last commit</t>
        </is>
      </c>
      <c r="D2" s="18" t="inlineStr">
        <is>
          <t>2026-04-01</t>
        </is>
      </c>
      <c r="E2" s="18" t="inlineStr">
        <is>
          <t>2026-09-27</t>
        </is>
      </c>
    </row>
    <row r="3">
      <c r="A3" s="18" t="inlineStr">
        <is>
          <t>2026-10-14</t>
        </is>
      </c>
      <c r="B3" s="18" t="inlineStr">
        <is>
          <t>QUBIP etsi-qkd-004</t>
        </is>
      </c>
      <c r="C3" s="18" t="inlineStr">
        <is>
          <t>Docker</t>
        </is>
      </c>
      <c r="D3" s="18" t="inlineStr">
        <is>
          <t>To be checked</t>
        </is>
      </c>
      <c r="E3" s="18" t="inlineStr">
        <is>
          <t>Yes</t>
        </is>
      </c>
    </row>
    <row r="4">
      <c r="A4" s="18" t="inlineStr">
        <is>
          <t>2026-10-14</t>
        </is>
      </c>
      <c r="B4" s="18" t="inlineStr">
        <is>
          <t>QKDNetSim v2.0</t>
        </is>
      </c>
      <c r="C4" s="18" t="inlineStr">
        <is>
          <t>Last commit</t>
        </is>
      </c>
      <c r="D4" s="18" t="inlineStr">
        <is>
          <t>2026-09-04</t>
        </is>
      </c>
      <c r="E4" s="18" t="inlineStr">
        <is>
          <t>2026-10-08</t>
        </is>
      </c>
    </row>
    <row r="5">
      <c r="A5" s="18" t="inlineStr">
        <is>
          <t>2026-10-14</t>
        </is>
      </c>
      <c r="B5" s="18" t="inlineStr">
        <is>
          <t>SeQUeNCe</t>
        </is>
      </c>
      <c r="C5" s="18" t="inlineStr">
        <is>
          <t>Last commit</t>
        </is>
      </c>
      <c r="D5" s="18" t="inlineStr">
        <is>
          <t>2026-09-13</t>
        </is>
      </c>
      <c r="E5" s="18" t="inlineStr">
        <is>
          <t>2026-10-13</t>
        </is>
      </c>
    </row>
    <row r="6">
      <c r="A6" t="inlineStr">
        <is>
          <t>2026-10-19</t>
        </is>
      </c>
      <c r="B6" t="inlineStr">
        <is>
          <t>SeQUeNCe</t>
        </is>
      </c>
      <c r="C6" t="inlineStr">
        <is>
          <t>Last commit</t>
        </is>
      </c>
      <c r="D6" t="inlineStr">
        <is>
          <t>2026-10-13</t>
        </is>
      </c>
      <c r="E6" t="inlineStr">
        <is>
          <t>2026-10-17</t>
        </is>
      </c>
    </row>
    <row r="7">
      <c r="A7" t="inlineStr">
        <is>
          <t>2026-10-19</t>
        </is>
      </c>
      <c r="B7" t="inlineStr">
        <is>
          <t>SeQUeNCe</t>
        </is>
      </c>
      <c r="C7" t="inlineStr">
        <is>
          <t>Latest release</t>
        </is>
      </c>
      <c r="D7" t="inlineStr">
        <is>
          <t>v1.3.0 (2026-10-10)</t>
        </is>
      </c>
      <c r="E7" t="inlineStr">
        <is>
          <t>v1.3.1 (2026-10-17)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2026-09-21T17:43:07Z</dcterms:created>
  <dcterms:modified xsi:type="dcterms:W3CDTF">2026-10-19T13:21:57Z</dcterms:modified>
  <cp:revision>0</cp:revision>
</cp:coreProperties>
</file>