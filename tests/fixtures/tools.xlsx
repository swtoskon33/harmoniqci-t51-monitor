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ool map" sheetId="1" state="visible" r:id="rId1"/>
    <sheet name="Criteria" sheetId="2" state="visible" r:id="rId2"/>
    <sheet name="Scoring" sheetId="3" state="visible" r:id="rId3"/>
  </sheets>
  <definedNames>
    <definedName name="_xlnm._FilterDatabase" localSheetId="0" hidden="1">'Tool map'!$A$1:$M$15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i val="1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9" fontId="8" fillId="8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bottom"/>
    </xf>
    <xf numFmtId="2" fontId="9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9" fontId="8" fillId="8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bottom"/>
    </xf>
    <xf numFmtId="2" fontId="9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reepPork/next-door-key-simulator" TargetMode="External" Id="rId1" /><Relationship Type="http://schemas.openxmlformats.org/officeDocument/2006/relationships/hyperlink" Target="https://github.com/cybermerqury/etsi-gs-qkd-014-referenceimplementation" TargetMode="External" Id="rId2" /><Relationship Type="http://schemas.openxmlformats.org/officeDocument/2006/relationships/hyperlink" Target="https://github.com/thomasarmel/qkd_kme_server" TargetMode="External" Id="rId3" /><Relationship Type="http://schemas.openxmlformats.org/officeDocument/2006/relationships/hyperlink" Target="https://github.com/QUBIP/etsi-qkd-004" TargetMode="External" Id="rId4" /><Relationship Type="http://schemas.openxmlformats.org/officeDocument/2006/relationships/hyperlink" Target="https://github.com/QKDNetSim/qkdnetsim" TargetMode="External" Id="rId5" /><Relationship Type="http://schemas.openxmlformats.org/officeDocument/2006/relationships/hyperlink" Target="https://github.com/Open-QKD-Network/qkd-net" TargetMode="External" Id="rId6" /><Relationship Type="http://schemas.openxmlformats.org/officeDocument/2006/relationships/hyperlink" Target="https://github.com/sequence-toolbox/SeQUeNCe" TargetMode="External" Id="rId7" /><Relationship Type="http://schemas.openxmlformats.org/officeDocument/2006/relationships/hyperlink" Target="https://github.com/tqsd/QuNetSim" TargetMode="External" Id="rId8" /><Relationship Type="http://schemas.openxmlformats.org/officeDocument/2006/relationships/hyperlink" Target="https://github.com/SoftwareQuTech/SimulaQron" TargetMode="External" Id="rId9" /><Relationship Type="http://schemas.openxmlformats.org/officeDocument/2006/relationships/hyperlink" Target="https://github.com/kappall/kms-sdn-agent-interface-specification" TargetMode="External" Id="rId10" /><Relationship Type="http://schemas.openxmlformats.org/officeDocument/2006/relationships/hyperlink" Target="https://github.com/ait-crypto/etsi-gs-qkd-004-push-mode-API-specification" TargetMode="External" Id="rId11" /><Relationship Type="http://schemas.openxmlformats.org/officeDocument/2006/relationships/hyperlink" Target="https://github.com/qursa-uc3m/qkd-etsi-api-c-wrapper" TargetMode="External" Id="rId12" /><Relationship Type="http://schemas.openxmlformats.org/officeDocument/2006/relationships/hyperlink" Target="https://qukaydee.com/" TargetMode="External" Id="rId13" /><Relationship Type="http://schemas.openxmlformats.org/officeDocument/2006/relationships/hyperlink" Target="https://netsquid.org/" TargetMode="External" Id="rId14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8" min="1" max="1"/>
    <col width="24" customWidth="1" style="18" min="2" max="2"/>
    <col width="40" customWidth="1" style="18" min="3" max="3"/>
    <col width="22" customWidth="1" style="18" min="4" max="4"/>
    <col width="48" customWidth="1" style="18" min="5" max="5"/>
    <col width="12" customWidth="1" style="18" min="6" max="6"/>
    <col width="16" customWidth="1" style="18" min="7" max="7"/>
    <col width="20" customWidth="1" style="18" min="8" max="8"/>
    <col width="13" customWidth="1" style="18" min="9" max="9"/>
    <col width="9" customWidth="1" style="18" min="10" max="10"/>
    <col width="16" customWidth="1" style="18" min="11" max="11"/>
    <col width="55" customWidth="1" style="18" min="12" max="12"/>
    <col width="12" customWidth="1" style="18" min="13" max="13"/>
  </cols>
  <sheetData>
    <row r="1" ht="35.05" customHeight="1" s="19">
      <c r="A1" s="20" t="inlineStr">
        <is>
          <t>#</t>
        </is>
      </c>
      <c r="B1" s="20" t="inlineStr">
        <is>
          <t>Tool</t>
        </is>
      </c>
      <c r="C1" s="20" t="inlineStr">
        <is>
          <t>Link</t>
        </is>
      </c>
      <c r="D1" s="20" t="inlineStr">
        <is>
          <t>Category / Layer</t>
        </is>
      </c>
      <c r="E1" s="20" t="inlineStr">
        <is>
          <t>What it does</t>
        </is>
      </c>
      <c r="F1" s="20" t="inlineStr">
        <is>
          <t>Language</t>
        </is>
      </c>
      <c r="G1" s="20" t="inlineStr">
        <is>
          <t>License</t>
        </is>
      </c>
      <c r="H1" s="20" t="inlineStr">
        <is>
          <t>ETSI APIs</t>
        </is>
      </c>
      <c r="I1" s="20" t="inlineStr">
        <is>
          <t>Last commit</t>
        </is>
      </c>
      <c r="J1" s="20" t="inlineStr">
        <is>
          <t>Docker</t>
        </is>
      </c>
      <c r="K1" s="20" t="inlineStr">
        <is>
          <t>Test status</t>
        </is>
      </c>
      <c r="L1" s="20" t="inlineStr">
        <is>
          <t>Findings / Notes</t>
        </is>
      </c>
      <c r="M1" s="20" t="inlineStr">
        <is>
          <t>Test priority</t>
        </is>
      </c>
    </row>
    <row r="2" ht="79.84999999999999" customHeight="1" s="19">
      <c r="A2" s="21" t="n">
        <v>1</v>
      </c>
      <c r="B2" s="21" t="inlineStr">
        <is>
          <t>next-door-key-simulator</t>
        </is>
      </c>
      <c r="C2" s="22" t="inlineStr">
        <is>
          <t>https://github.com/CreepPork/next-door-key-simulator</t>
        </is>
      </c>
      <c r="D2" s="23" t="inlineStr">
        <is>
          <t>KMS / ETSI 014</t>
        </is>
      </c>
      <c r="E2" s="21" t="inlineStr">
        <is>
          <t>KME simulator for testing applications (SAEs) over 014, with automatic discovery of KMEs</t>
        </is>
      </c>
      <c r="F2" s="21" t="inlineStr">
        <is>
          <t>Python</t>
        </is>
      </c>
      <c r="G2" s="21" t="inlineStr">
        <is>
          <t>MIT</t>
        </is>
      </c>
      <c r="H2" s="21" t="inlineStr">
        <is>
          <t>014 v1.1.1</t>
        </is>
      </c>
      <c r="I2" s="21" t="inlineStr">
        <is>
          <t>2026-01-20</t>
        </is>
      </c>
      <c r="J2" s="21" t="inlineStr">
        <is>
          <t>Yes</t>
        </is>
      </c>
      <c r="K2" s="24" t="inlineStr">
        <is>
          <t>Tested</t>
        </is>
      </c>
      <c r="L2" s="21" t="inlineStr">
        <is>
          <t>Basic 014 flow correct (same key at both ends), key deleted after delivery, mTLS enforced. Issues: wrong stored_key_count in status, error codes/messages not as in the standard, deadlock when KMEs discover each other at the same time, verify=False on KME–KME traffic, keys in clear text in the logs, non-standard KME–KME protocol. For testing only.</t>
        </is>
      </c>
      <c r="M2" s="21" t="inlineStr">
        <is>
          <t>High</t>
        </is>
      </c>
    </row>
    <row r="3" ht="35.05" customHeight="1" s="19">
      <c r="A3" s="21" t="n">
        <v>2</v>
      </c>
      <c r="B3" s="21" t="inlineStr">
        <is>
          <t>ETSI GS QKD 014 reference implementation (cybermerqury)</t>
        </is>
      </c>
      <c r="C3" s="22" t="inlineStr">
        <is>
          <t>https://github.com/cybermerqury/etsi-gs-qkd-014-referenceimplementation</t>
        </is>
      </c>
      <c r="D3" s="23" t="inlineStr">
        <is>
          <t>KMS / ETSI 014</t>
        </is>
      </c>
      <c r="E3" s="21" t="inlineStr">
        <is>
          <t>Reference implementation of a 014 KME server with mandatory mTLS</t>
        </is>
      </c>
      <c r="F3" s="21" t="inlineStr">
        <is>
          <t>Rust</t>
        </is>
      </c>
      <c r="G3" s="21" t="inlineStr">
        <is>
          <t>AGPL-3.0</t>
        </is>
      </c>
      <c r="H3" s="21" t="inlineStr">
        <is>
          <t>014 v1.1.1</t>
        </is>
      </c>
      <c r="I3" s="21" t="inlineStr">
        <is>
          <t>2026-08-14</t>
        </is>
      </c>
      <c r="J3" s="21" t="inlineStr">
        <is>
          <t>Yes</t>
        </is>
      </c>
      <c r="K3" s="21" t="inlineStr">
        <is>
          <t>To test</t>
        </is>
      </c>
      <c r="L3" s="21" t="inlineStr">
        <is>
          <t>AGPL may deter commercial adoption by vendors; a note for the study.</t>
        </is>
      </c>
      <c r="M3" s="21" t="inlineStr">
        <is>
          <t>High</t>
        </is>
      </c>
    </row>
    <row r="4" ht="35.05" customHeight="1" s="19">
      <c r="A4" s="21" t="n">
        <v>3</v>
      </c>
      <c r="B4" s="21" t="inlineStr">
        <is>
          <t>qkd_kme_server</t>
        </is>
      </c>
      <c r="C4" s="22" t="inlineStr">
        <is>
          <t>https://github.com/thomasarmel/qkd_kme_server</t>
        </is>
      </c>
      <c r="D4" s="23" t="inlineStr">
        <is>
          <t>KMS / ETSI 014</t>
        </is>
      </c>
      <c r="E4" s="21" t="inlineStr">
        <is>
          <t>014-compatible KME server; supports many remote KMEs and reads keys from files after privacy amplification</t>
        </is>
      </c>
      <c r="F4" s="21" t="inlineStr">
        <is>
          <t>Rust</t>
        </is>
      </c>
      <c r="G4" s="21" t="inlineStr">
        <is>
          <t>MIT</t>
        </is>
      </c>
      <c r="H4" s="21" t="inlineStr">
        <is>
          <t>014 v1.1.1</t>
        </is>
      </c>
      <c r="I4" s="21" t="inlineStr">
        <is>
          <t>2026-04-01</t>
        </is>
      </c>
      <c r="J4" s="21" t="inlineStr">
        <is>
          <t>Yes</t>
        </is>
      </c>
      <c r="K4" s="21" t="inlineStr">
        <is>
          <t>To test</t>
        </is>
      </c>
      <c r="L4" s="21" t="inlineStr">
        <is>
          <t>More production-like design (SQL database, multiple platforms), linked to a paper on formal verification of 014.</t>
        </is>
      </c>
      <c r="M4" s="21" t="inlineStr">
        <is>
          <t>High</t>
        </is>
      </c>
    </row>
    <row r="5" ht="23.85" customHeight="1" s="19">
      <c r="A5" s="21" t="n">
        <v>4</v>
      </c>
      <c r="B5" s="21" t="inlineStr">
        <is>
          <t>QUBIP etsi-qkd-004</t>
        </is>
      </c>
      <c r="C5" s="22" t="inlineStr">
        <is>
          <t>https://github.com/QUBIP/etsi-qkd-004</t>
        </is>
      </c>
      <c r="D5" s="23" t="inlineStr">
        <is>
          <t>KMS / ETSI 004</t>
        </is>
      </c>
      <c r="E5" s="21" t="inlineStr">
        <is>
          <t>Simulated key generator and KMS for testing the 004 API</t>
        </is>
      </c>
      <c r="F5" s="21" t="inlineStr">
        <is>
          <t>Python</t>
        </is>
      </c>
      <c r="G5" s="21" t="inlineStr">
        <is>
          <t>BSD-3-Clause</t>
        </is>
      </c>
      <c r="H5" s="21" t="inlineStr">
        <is>
          <t>004</t>
        </is>
      </c>
      <c r="I5" s="21" t="inlineStr">
        <is>
          <t>2026-02-06</t>
        </is>
      </c>
      <c r="J5" s="21" t="inlineStr">
        <is>
          <t>To be checked</t>
        </is>
      </c>
      <c r="K5" s="21" t="inlineStr">
        <is>
          <t>To test</t>
        </is>
      </c>
      <c r="L5" s="21" t="inlineStr">
        <is>
          <t>Useful for comparing 004 with 014.</t>
        </is>
      </c>
      <c r="M5" s="21" t="inlineStr">
        <is>
          <t>Medium</t>
        </is>
      </c>
    </row>
    <row r="6" ht="23.85" customHeight="1" s="19">
      <c r="A6" s="21" t="n">
        <v>5</v>
      </c>
      <c r="B6" s="21" t="inlineStr">
        <is>
          <t>QKDNetSim v2.0</t>
        </is>
      </c>
      <c r="C6" s="22" t="inlineStr">
        <is>
          <t>https://github.com/QKDNetSim/qkdnetsim</t>
        </is>
      </c>
      <c r="D6" s="25" t="inlineStr">
        <is>
          <t>QKD network simulation</t>
        </is>
      </c>
      <c r="E6" s="21" t="inlineStr">
        <is>
          <t>ns-3 module that simulates QKD networks, KMS, post-processing and encryption</t>
        </is>
      </c>
      <c r="F6" s="21" t="inlineStr">
        <is>
          <t>C++ (ns-3)</t>
        </is>
      </c>
      <c r="G6" s="21" t="inlineStr">
        <is>
          <t>GPL-2.0</t>
        </is>
      </c>
      <c r="H6" s="21" t="inlineStr">
        <is>
          <t>004, 014 (simulated)</t>
        </is>
      </c>
      <c r="I6" s="21" t="inlineStr">
        <is>
          <t>2026-09-04</t>
        </is>
      </c>
      <c r="J6" s="21" t="inlineStr">
        <is>
          <t>No</t>
        </is>
      </c>
      <c r="K6" s="21" t="inlineStr">
        <is>
          <t>To test</t>
        </is>
      </c>
      <c r="L6" s="21" t="inlineStr">
        <is>
          <t>The most mature at network level; includes 004 and 014 applications inside the simulator. Heavy setup (ns-3).</t>
        </is>
      </c>
      <c r="M6" s="21" t="inlineStr">
        <is>
          <t>High</t>
        </is>
      </c>
    </row>
    <row r="7" ht="35.05" customHeight="1" s="19">
      <c r="A7" s="21" t="n">
        <v>6</v>
      </c>
      <c r="B7" s="21" t="inlineStr">
        <is>
          <t>Open QKD Network (qkd-net)</t>
        </is>
      </c>
      <c r="C7" s="22" t="inlineStr">
        <is>
          <t>https://github.com/Open-QKD-Network/qkd-net</t>
        </is>
      </c>
      <c r="D7" s="24" t="inlineStr">
        <is>
          <t>Full QKD network stack</t>
        </is>
      </c>
      <c r="E7" s="21" t="inlineStr">
        <is>
          <t>Reference implementation of a 4-layer QKD network with microservices, key routing and a QKD link simulator (IQC Waterloo)</t>
        </is>
      </c>
      <c r="F7" s="21" t="inlineStr">
        <is>
          <t>Java</t>
        </is>
      </c>
      <c r="G7" s="21" t="inlineStr">
        <is>
          <t>MIT</t>
        </is>
      </c>
      <c r="H7" s="21" t="inlineStr">
        <is>
          <t>To be checked</t>
        </is>
      </c>
      <c r="I7" s="21" t="inlineStr">
        <is>
          <t>2024-01-25</t>
        </is>
      </c>
      <c r="J7" s="21" t="inlineStr">
        <is>
          <t>No</t>
        </is>
      </c>
      <c r="K7" s="21" t="inlineStr">
        <is>
          <t>To test</t>
        </is>
      </c>
      <c r="L7" s="21" t="inlineStr">
        <is>
          <t>Low activity since 2024, old environment (Java 8, Ubuntu 16.04).</t>
        </is>
      </c>
      <c r="M7" s="21" t="inlineStr">
        <is>
          <t>Medium</t>
        </is>
      </c>
    </row>
    <row r="8" ht="35.05" customHeight="1" s="19">
      <c r="A8" s="21" t="n">
        <v>7</v>
      </c>
      <c r="B8" s="21" t="inlineStr">
        <is>
          <t>SeQUeNCe</t>
        </is>
      </c>
      <c r="C8" s="22" t="inlineStr">
        <is>
          <t>https://github.com/sequence-toolbox/SeQUeNCe</t>
        </is>
      </c>
      <c r="D8" s="25" t="inlineStr">
        <is>
          <t>Quantum network simulation</t>
        </is>
      </c>
      <c r="E8" s="21" t="inlineStr">
        <is>
          <t>Simulation of quantum networks with photonic components, control protocols and applications (Argonne)</t>
        </is>
      </c>
      <c r="F8" s="21" t="inlineStr">
        <is>
          <t>Python / C++</t>
        </is>
      </c>
      <c r="G8" s="21" t="inlineStr">
        <is>
          <t>BSD-style (Argonne)</t>
        </is>
      </c>
      <c r="H8" s="21" t="inlineStr">
        <is>
          <t>None</t>
        </is>
      </c>
      <c r="I8" s="21" t="inlineStr">
        <is>
          <t>2026-09-13</t>
        </is>
      </c>
      <c r="J8" s="21" t="inlineStr">
        <is>
          <t>No</t>
        </is>
      </c>
      <c r="K8" s="21" t="inlineStr">
        <is>
          <t>To evaluate</t>
        </is>
      </c>
      <c r="L8" s="21" t="inlineStr">
        <is>
          <t>Physical layer, not KMS; active development.</t>
        </is>
      </c>
      <c r="M8" s="21" t="inlineStr">
        <is>
          <t>Low</t>
        </is>
      </c>
    </row>
    <row r="9" ht="23.85" customHeight="1" s="19">
      <c r="A9" s="21" t="n">
        <v>8</v>
      </c>
      <c r="B9" s="21" t="inlineStr">
        <is>
          <t>QuNetSim</t>
        </is>
      </c>
      <c r="C9" s="22" t="inlineStr">
        <is>
          <t>https://github.com/tqsd/QuNetSim</t>
        </is>
      </c>
      <c r="D9" s="25" t="inlineStr">
        <is>
          <t>Quantum network simulation</t>
        </is>
      </c>
      <c r="E9" s="21" t="inlineStr">
        <is>
          <t>Framework for simulating quantum networks at protocol level</t>
        </is>
      </c>
      <c r="F9" s="21" t="inlineStr">
        <is>
          <t>Python</t>
        </is>
      </c>
      <c r="G9" s="21" t="inlineStr">
        <is>
          <t>MIT</t>
        </is>
      </c>
      <c r="H9" s="21" t="inlineStr">
        <is>
          <t>None</t>
        </is>
      </c>
      <c r="I9" s="21" t="inlineStr">
        <is>
          <t>2023-06-07</t>
        </is>
      </c>
      <c r="J9" s="21" t="inlineStr">
        <is>
          <t>No</t>
        </is>
      </c>
      <c r="K9" s="21" t="inlineStr">
        <is>
          <t>To evaluate</t>
        </is>
      </c>
      <c r="L9" s="21" t="inlineStr">
        <is>
          <t>Inactive since 2023.</t>
        </is>
      </c>
      <c r="M9" s="21" t="inlineStr">
        <is>
          <t>Low</t>
        </is>
      </c>
    </row>
    <row r="10" ht="23.85" customHeight="1" s="19">
      <c r="A10" s="21" t="n">
        <v>9</v>
      </c>
      <c r="B10" s="21" t="inlineStr">
        <is>
          <t>SimulaQron</t>
        </is>
      </c>
      <c r="C10" s="22" t="inlineStr">
        <is>
          <t>https://github.com/SoftwareQuTech/SimulaQron</t>
        </is>
      </c>
      <c r="D10" s="25" t="inlineStr">
        <is>
          <t>Quantum network simulation</t>
        </is>
      </c>
      <c r="E10" s="21" t="inlineStr">
        <is>
          <t>Distributed simulation of quantum networks for application development (QuTech)</t>
        </is>
      </c>
      <c r="F10" s="21" t="inlineStr">
        <is>
          <t>Python</t>
        </is>
      </c>
      <c r="G10" s="21" t="inlineStr">
        <is>
          <t>BSD-style</t>
        </is>
      </c>
      <c r="H10" s="21" t="inlineStr">
        <is>
          <t>None</t>
        </is>
      </c>
      <c r="I10" s="21" t="inlineStr">
        <is>
          <t>2026-05-15</t>
        </is>
      </c>
      <c r="J10" s="21" t="inlineStr">
        <is>
          <t>Yes</t>
        </is>
      </c>
      <c r="K10" s="21" t="inlineStr">
        <is>
          <t>To evaluate</t>
        </is>
      </c>
      <c r="L10" s="21" t="inlineStr">
        <is>
          <t>Used for BB84 over OpenSSL in hackathons.</t>
        </is>
      </c>
      <c r="M10" s="21" t="inlineStr">
        <is>
          <t>Low</t>
        </is>
      </c>
    </row>
    <row r="11" ht="23.85" customHeight="1" s="19">
      <c r="A11" s="21" t="n">
        <v>10</v>
      </c>
      <c r="B11" s="21" t="inlineStr">
        <is>
          <t>QUICKS KMS–SDN Agent interface (AIT)</t>
        </is>
      </c>
      <c r="C11" s="22" t="inlineStr">
        <is>
          <t>https://github.com/kappall/kms-sdn-agent-interface-specification</t>
        </is>
      </c>
      <c r="D11" s="26" t="inlineStr">
        <is>
          <t>SDN / Control plane</t>
        </is>
      </c>
      <c r="E11" s="21" t="inlineStr">
        <is>
          <t>Specification of a REST API between KMS and SDN agent, which ETSI does not cover</t>
        </is>
      </c>
      <c r="F11" s="21" t="inlineStr">
        <is>
          <t>Spec (REST)</t>
        </is>
      </c>
      <c r="G11" s="21" t="inlineStr">
        <is>
          <t>MIT</t>
        </is>
      </c>
      <c r="H11" s="21" t="inlineStr">
        <is>
          <t>Related to 015</t>
        </is>
      </c>
      <c r="I11" s="21" t="inlineStr">
        <is>
          <t>2026-07-09</t>
        </is>
      </c>
      <c r="J11" s="21" t="inlineStr">
        <is>
          <t>No</t>
        </is>
      </c>
      <c r="K11" s="21" t="inlineStr">
        <is>
          <t>To study</t>
        </is>
      </c>
      <c r="L11" s="21" t="inlineStr">
        <is>
          <t>From AIT (HarmoniQCI coordinator); points to a specific gap in the standards.</t>
        </is>
      </c>
      <c r="M11" s="21" t="inlineStr">
        <is>
          <t>High</t>
        </is>
      </c>
    </row>
    <row r="12" ht="23.85" customHeight="1" s="19">
      <c r="A12" s="21" t="n">
        <v>11</v>
      </c>
      <c r="B12" s="21" t="inlineStr">
        <is>
          <t>ETSI 004 push-mode API spec (AIT)</t>
        </is>
      </c>
      <c r="C12" s="22" t="inlineStr">
        <is>
          <t>https://github.com/ait-crypto/etsi-gs-qkd-004-push-mode-API-specification</t>
        </is>
      </c>
      <c r="D12" s="26" t="inlineStr">
        <is>
          <t>SDN / Control plane</t>
        </is>
      </c>
      <c r="E12" s="21" t="inlineStr">
        <is>
          <t>Specification of a push-mode extension of 004</t>
        </is>
      </c>
      <c r="F12" s="21" t="inlineStr">
        <is>
          <t>Spec</t>
        </is>
      </c>
      <c r="G12" s="21" t="inlineStr">
        <is>
          <t>MIT</t>
        </is>
      </c>
      <c r="H12" s="21" t="inlineStr">
        <is>
          <t>004</t>
        </is>
      </c>
      <c r="I12" s="21" t="inlineStr">
        <is>
          <t>2026-02-06</t>
        </is>
      </c>
      <c r="J12" s="21" t="inlineStr">
        <is>
          <t>No</t>
        </is>
      </c>
      <c r="K12" s="21" t="inlineStr">
        <is>
          <t>To study</t>
        </is>
      </c>
      <c r="L12" s="21" t="inlineStr">
        <is>
          <t>Also from AIT; a possible topic for ETSI.</t>
        </is>
      </c>
      <c r="M12" s="21" t="inlineStr">
        <is>
          <t>Medium</t>
        </is>
      </c>
    </row>
    <row r="13" ht="23.85" customHeight="1" s="19">
      <c r="A13" s="21" t="n">
        <v>12</v>
      </c>
      <c r="B13" s="21" t="inlineStr">
        <is>
          <t>qkd-etsi-api-c-wrapper</t>
        </is>
      </c>
      <c r="C13" s="22" t="inlineStr">
        <is>
          <t>https://github.com/qursa-uc3m/qkd-etsi-api-c-wrapper</t>
        </is>
      </c>
      <c r="D13" s="27" t="inlineStr">
        <is>
          <t>Library / Integration</t>
        </is>
      </c>
      <c r="E13" s="21" t="inlineStr">
        <is>
          <t>C wrapper for ETSI 004 and 014 calls from applications (UC3M)</t>
        </is>
      </c>
      <c r="F13" s="21" t="inlineStr">
        <is>
          <t>C</t>
        </is>
      </c>
      <c r="G13" s="21" t="inlineStr">
        <is>
          <t>To be checked</t>
        </is>
      </c>
      <c r="H13" s="21" t="inlineStr">
        <is>
          <t>004, 014</t>
        </is>
      </c>
      <c r="I13" s="21" t="inlineStr">
        <is>
          <t>2026-08-14</t>
        </is>
      </c>
      <c r="J13" s="21" t="inlineStr">
        <is>
          <t>To be checked</t>
        </is>
      </c>
      <c r="K13" s="21" t="inlineStr">
        <is>
          <t>To evaluate</t>
        </is>
      </c>
      <c r="L13" s="21" t="inlineStr">
        <is>
          <t>Useful for interoperability tests between different KMEs.</t>
        </is>
      </c>
      <c r="M13" s="21" t="inlineStr">
        <is>
          <t>Medium</t>
        </is>
      </c>
    </row>
    <row r="14" ht="23.85" customHeight="1" s="19">
      <c r="A14" s="21" t="n">
        <v>13</v>
      </c>
      <c r="B14" s="21" t="inlineStr">
        <is>
          <t>QuKayDee</t>
        </is>
      </c>
      <c r="C14" s="22" t="inlineStr">
        <is>
          <t>https://qukaydee.com</t>
        </is>
      </c>
      <c r="D14" s="28" t="inlineStr">
        <is>
          <t>Cloud testbed (not open source)</t>
        </is>
      </c>
      <c r="E14" s="21" t="inlineStr">
        <is>
          <t>QKD simulator in the cloud for interoperability testing of encryptors without hardware</t>
        </is>
      </c>
      <c r="F14" s="21" t="inlineStr">
        <is>
          <t>—</t>
        </is>
      </c>
      <c r="G14" s="21" t="inlineStr">
        <is>
          <t>Service</t>
        </is>
      </c>
      <c r="H14" s="21" t="inlineStr">
        <is>
          <t>014</t>
        </is>
      </c>
      <c r="I14" s="21" t="inlineStr">
        <is>
          <t>—</t>
        </is>
      </c>
      <c r="J14" s="21" t="inlineStr">
        <is>
          <t>—</t>
        </is>
      </c>
      <c r="K14" s="21" t="inlineStr">
        <is>
          <t>To evaluate</t>
        </is>
      </c>
      <c r="L14" s="21" t="inlineStr">
        <is>
          <t>Not open source, but exactly a 'tool in the cloud'; a good reference point.</t>
        </is>
      </c>
      <c r="M14" s="21" t="inlineStr">
        <is>
          <t>Medium</t>
        </is>
      </c>
    </row>
    <row r="15" ht="35.05" customHeight="1" s="19">
      <c r="A15" s="21" t="n">
        <v>14</v>
      </c>
      <c r="B15" s="21" t="inlineStr">
        <is>
          <t>NetSquid</t>
        </is>
      </c>
      <c r="C15" s="22" t="inlineStr">
        <is>
          <t>https://netsquid.org</t>
        </is>
      </c>
      <c r="D15" s="28" t="inlineStr">
        <is>
          <t>Simulation (not open source)</t>
        </is>
      </c>
      <c r="E15" s="21" t="inlineStr">
        <is>
          <t>Quantum network simulator (QuTech)</t>
        </is>
      </c>
      <c r="F15" s="21" t="inlineStr">
        <is>
          <t>Python</t>
        </is>
      </c>
      <c r="G15" s="21" t="inlineStr">
        <is>
          <t>Closed source, free with registration</t>
        </is>
      </c>
      <c r="H15" s="21" t="inlineStr">
        <is>
          <t>None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Reference</t>
        </is>
      </c>
      <c r="L15" s="21" t="inlineStr">
        <is>
          <t>Not open source; listed for completeness.</t>
        </is>
      </c>
      <c r="M15" s="21" t="inlineStr">
        <is>
          <t>Low</t>
        </is>
      </c>
    </row>
    <row r="16"/>
    <row r="17" ht="15" customHeight="1" s="19">
      <c r="B17" s="29" t="inlineStr">
        <is>
          <t>Source: license and last commit from shallow clones of the repositories on 21/09/2026. "To be checked" = not confirmed yet.</t>
        </is>
      </c>
    </row>
  </sheetData>
  <autoFilter ref="A1:M15"/>
  <dataValidations count="2">
    <dataValidation sqref="K2:K54" showDropDown="0" showInputMessage="0" showErrorMessage="0" allowBlank="0" type="list" errorStyle="stop" operator="between">
      <formula1>"Tested,To test,To evaluate,To study,Reference"</formula1>
      <formula2>0</formula2>
    </dataValidation>
    <dataValidation sqref="M2:M54" showDropDown="0" showInputMessage="0" showErrorMessage="0" allowBlank="0" type="list" errorStyle="stop" operator="between">
      <formula1>"High,Medium,Low"</formula1>
      <formula2>0</formula2>
    </dataValidation>
  </dataValidations>
  <hyperlinks>
    <hyperlink xmlns:r="http://schemas.openxmlformats.org/officeDocument/2006/relationships" ref="C2" display="https://github.com/CreepPork/next-door-key-simulator" r:id="rId1"/>
    <hyperlink xmlns:r="http://schemas.openxmlformats.org/officeDocument/2006/relationships" ref="C3" display="https://github.com/cybermerqury/etsi-gs-qkd-014-referenceimplementation" r:id="rId2"/>
    <hyperlink xmlns:r="http://schemas.openxmlformats.org/officeDocument/2006/relationships" ref="C4" display="https://github.com/thomasarmel/qkd_kme_server" r:id="rId3"/>
    <hyperlink xmlns:r="http://schemas.openxmlformats.org/officeDocument/2006/relationships" ref="C5" display="https://github.com/QUBIP/etsi-qkd-004" r:id="rId4"/>
    <hyperlink xmlns:r="http://schemas.openxmlformats.org/officeDocument/2006/relationships" ref="C6" display="https://github.com/QKDNetSim/qkdnetsim" r:id="rId5"/>
    <hyperlink xmlns:r="http://schemas.openxmlformats.org/officeDocument/2006/relationships" ref="C7" display="https://github.com/Open-QKD-Network/qkd-net" r:id="rId6"/>
    <hyperlink xmlns:r="http://schemas.openxmlformats.org/officeDocument/2006/relationships" ref="C8" display="https://github.com/sequence-toolbox/SeQUeNCe" r:id="rId7"/>
    <hyperlink xmlns:r="http://schemas.openxmlformats.org/officeDocument/2006/relationships" ref="C9" display="https://github.com/tqsd/QuNetSim" r:id="rId8"/>
    <hyperlink xmlns:r="http://schemas.openxmlformats.org/officeDocument/2006/relationships" ref="C10" display="https://github.com/SoftwareQuTech/SimulaQron" r:id="rId9"/>
    <hyperlink xmlns:r="http://schemas.openxmlformats.org/officeDocument/2006/relationships" ref="C11" display="https://github.com/kappall/kms-sdn-agent-interface-specification" r:id="rId10"/>
    <hyperlink xmlns:r="http://schemas.openxmlformats.org/officeDocument/2006/relationships" ref="C12" display="https://github.com/ait-crypto/etsi-gs-qkd-004-push-mode-API-specification" r:id="rId11"/>
    <hyperlink xmlns:r="http://schemas.openxmlformats.org/officeDocument/2006/relationships" ref="C13" display="https://github.com/qursa-uc3m/qkd-etsi-api-c-wrapper" r:id="rId12"/>
    <hyperlink xmlns:r="http://schemas.openxmlformats.org/officeDocument/2006/relationships" ref="C14" display="https://qukaydee.com" r:id="rId13"/>
    <hyperlink xmlns:r="http://schemas.openxmlformats.org/officeDocument/2006/relationships" ref="C15" display="https://netsquid.org" r:id="rId1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8" min="1" max="1"/>
    <col width="70" customWidth="1" style="18" min="2" max="2"/>
    <col width="10" customWidth="1" style="18" min="3" max="3"/>
  </cols>
  <sheetData>
    <row r="1" ht="15" customHeight="1" s="19">
      <c r="A1" s="30" t="inlineStr">
        <is>
          <t>Criterion</t>
        </is>
      </c>
      <c r="B1" s="30" t="inlineStr">
        <is>
          <t>What it measures</t>
        </is>
      </c>
      <c r="C1" s="30" t="inlineStr">
        <is>
          <t>Weight</t>
        </is>
      </c>
    </row>
    <row r="2" ht="15" customHeight="1" s="19">
      <c r="A2" s="21" t="inlineStr">
        <is>
          <t>ETSI compliance</t>
        </is>
      </c>
      <c r="B2" s="21" t="inlineStr">
        <is>
          <t>How faithfully it implements the ETSI APIs (endpoints, fields, error codes)</t>
        </is>
      </c>
      <c r="C2" s="31" t="n">
        <v>0.3</v>
      </c>
    </row>
    <row r="3" ht="15" customHeight="1" s="19">
      <c r="A3" s="21" t="inlineStr">
        <is>
          <t>Security</t>
        </is>
      </c>
      <c r="B3" s="21" t="inlineStr">
        <is>
          <t>mTLS, certificate checks, key handling, logs</t>
        </is>
      </c>
      <c r="C3" s="31" t="n">
        <v>0.2</v>
      </c>
    </row>
    <row r="4" ht="15" customHeight="1" s="19">
      <c r="A4" s="21" t="inlineStr">
        <is>
          <t>Ease of deployment</t>
        </is>
      </c>
      <c r="B4" s="21" t="inlineStr">
        <is>
          <t>Runs in the cloud/Docker without special setup</t>
        </is>
      </c>
      <c r="C4" s="31" t="n">
        <v>0.15</v>
      </c>
    </row>
    <row r="5" ht="15" customHeight="1" s="19">
      <c r="A5" s="21" t="inlineStr">
        <is>
          <t>Reliability</t>
        </is>
      </c>
      <c r="B5" s="21" t="inlineStr">
        <is>
          <t>Stability, no hangs or unexpected behaviour</t>
        </is>
      </c>
      <c r="C5" s="31" t="n">
        <v>0.15</v>
      </c>
    </row>
    <row r="6" ht="15" customHeight="1" s="19">
      <c r="A6" s="21" t="inlineStr">
        <is>
          <t>Maintenance / Community</t>
        </is>
      </c>
      <c r="B6" s="21" t="inlineStr">
        <is>
          <t>Recent commits, active maintainers, issues</t>
        </is>
      </c>
      <c r="C6" s="31" t="n">
        <v>0.1</v>
      </c>
    </row>
    <row r="7" ht="15" customHeight="1" s="19">
      <c r="A7" s="21" t="inlineStr">
        <is>
          <t>Documentation</t>
        </is>
      </c>
      <c r="B7" s="21" t="inlineStr">
        <is>
          <t>Quality of README, docs, examples</t>
        </is>
      </c>
      <c r="C7" s="31" t="n">
        <v>0.1</v>
      </c>
    </row>
    <row r="8" ht="15" customHeight="1" s="19">
      <c r="A8" s="32" t="inlineStr">
        <is>
          <t>Sum of weights</t>
        </is>
      </c>
      <c r="B8" s="21" t="n"/>
      <c r="C8" s="33">
        <f>SUM(C2:C7)</f>
        <v/>
      </c>
    </row>
    <row r="9"/>
    <row r="10" ht="15" customHeight="1" s="19">
      <c r="A10" s="29" t="inlineStr">
        <is>
          <t>Scale: 1 = very poor, 3 = adequate, 5 = very good. The weights (yellow cells) are a proposal, to be adjusted after discussion with Mr Papadopoulos.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18" min="1" max="1"/>
    <col width="15" customWidth="1" style="18" min="2" max="7"/>
    <col width="16" customWidth="1" style="18" min="8" max="8"/>
  </cols>
  <sheetData>
    <row r="1" ht="23.85" customHeight="1" s="19">
      <c r="A1" s="20" t="inlineStr">
        <is>
          <t>Tool</t>
        </is>
      </c>
      <c r="B1" s="20" t="inlineStr">
        <is>
          <t>ETSI compliance</t>
        </is>
      </c>
      <c r="C1" s="20" t="inlineStr">
        <is>
          <t>Security</t>
        </is>
      </c>
      <c r="D1" s="20" t="inlineStr">
        <is>
          <t>Ease of deployment</t>
        </is>
      </c>
      <c r="E1" s="20" t="inlineStr">
        <is>
          <t>Reliability</t>
        </is>
      </c>
      <c r="F1" s="20" t="inlineStr">
        <is>
          <t>Maintenance / Community</t>
        </is>
      </c>
      <c r="G1" s="20" t="inlineStr">
        <is>
          <t>Documentation</t>
        </is>
      </c>
      <c r="H1" s="20" t="inlineStr">
        <is>
          <t>Weighted total</t>
        </is>
      </c>
    </row>
    <row r="2" ht="15" customHeight="1" s="19">
      <c r="A2" s="34" t="inlineStr">
        <is>
          <t>next-door-key-simulator</t>
        </is>
      </c>
      <c r="B2" s="35" t="n">
        <v>3</v>
      </c>
      <c r="C2" s="35" t="n">
        <v>2</v>
      </c>
      <c r="D2" s="35" t="n">
        <v>4</v>
      </c>
      <c r="E2" s="35" t="n">
        <v>2</v>
      </c>
      <c r="F2" s="35" t="n">
        <v>3</v>
      </c>
      <c r="G2" s="35" t="n">
        <v>3</v>
      </c>
      <c r="H2" s="36">
        <f>IF(COUNT(B2:G2)=0,"",B2*Criteria!$C$2+C2*Criteria!$C$3+D2*Criteria!$C$4+E2*Criteria!$C$5+F2*Criteria!$C$6+G2*Criteria!$C$7)</f>
        <v/>
      </c>
    </row>
    <row r="3" ht="15" customHeight="1" s="19">
      <c r="A3" s="34" t="inlineStr">
        <is>
          <t>ETSI GS QKD 014 reference implementation (cybermerqury)</t>
        </is>
      </c>
      <c r="B3" s="35" t="n"/>
      <c r="C3" s="35" t="n"/>
      <c r="D3" s="35" t="n"/>
      <c r="E3" s="35" t="n"/>
      <c r="F3" s="35" t="n"/>
      <c r="G3" s="35" t="n"/>
      <c r="H3" s="36">
        <f>IF(COUNT(B3:G3)=0,"",B3*Criteria!$C$2+C3*Criteria!$C$3+D3*Criteria!$C$4+E3*Criteria!$C$5+F3*Criteria!$C$6+G3*Criteria!$C$7)</f>
        <v/>
      </c>
    </row>
    <row r="4" ht="15" customHeight="1" s="19">
      <c r="A4" s="34" t="inlineStr">
        <is>
          <t>qkd_kme_server</t>
        </is>
      </c>
      <c r="B4" s="35" t="n"/>
      <c r="C4" s="35" t="n"/>
      <c r="D4" s="35" t="n"/>
      <c r="E4" s="35" t="n"/>
      <c r="F4" s="35" t="n"/>
      <c r="G4" s="35" t="n"/>
      <c r="H4" s="36">
        <f>IF(COUNT(B4:G4)=0,"",B4*Criteria!$C$2+C4*Criteria!$C$3+D4*Criteria!$C$4+E4*Criteria!$C$5+F4*Criteria!$C$6+G4*Criteria!$C$7)</f>
        <v/>
      </c>
    </row>
    <row r="5" ht="15" customHeight="1" s="19">
      <c r="A5" s="34" t="inlineStr">
        <is>
          <t>QUBIP etsi-qkd-004</t>
        </is>
      </c>
      <c r="B5" s="35" t="n"/>
      <c r="C5" s="35" t="n"/>
      <c r="D5" s="35" t="n"/>
      <c r="E5" s="35" t="n"/>
      <c r="F5" s="35" t="n"/>
      <c r="G5" s="35" t="n"/>
      <c r="H5" s="36">
        <f>IF(COUNT(B5:G5)=0,"",B5*Criteria!$C$2+C5*Criteria!$C$3+D5*Criteria!$C$4+E5*Criteria!$C$5+F5*Criteria!$C$6+G5*Criteria!$C$7)</f>
        <v/>
      </c>
    </row>
    <row r="6" ht="15" customHeight="1" s="19">
      <c r="A6" s="34" t="inlineStr">
        <is>
          <t>QKDNetSim v2.0</t>
        </is>
      </c>
      <c r="B6" s="35" t="n"/>
      <c r="C6" s="35" t="n"/>
      <c r="D6" s="35" t="n"/>
      <c r="E6" s="35" t="n"/>
      <c r="F6" s="35" t="n"/>
      <c r="G6" s="35" t="n"/>
      <c r="H6" s="36">
        <f>IF(COUNT(B6:G6)=0,"",B6*Criteria!$C$2+C6*Criteria!$C$3+D6*Criteria!$C$4+E6*Criteria!$C$5+F6*Criteria!$C$6+G6*Criteria!$C$7)</f>
        <v/>
      </c>
    </row>
    <row r="7" ht="15" customHeight="1" s="19">
      <c r="A7" s="34" t="inlineStr">
        <is>
          <t>Open QKD Network (qkd-net)</t>
        </is>
      </c>
      <c r="B7" s="35" t="n"/>
      <c r="C7" s="35" t="n"/>
      <c r="D7" s="35" t="n"/>
      <c r="E7" s="35" t="n"/>
      <c r="F7" s="35" t="n"/>
      <c r="G7" s="35" t="n"/>
      <c r="H7" s="36">
        <f>IF(COUNT(B7:G7)=0,"",B7*Criteria!$C$2+C7*Criteria!$C$3+D7*Criteria!$C$4+E7*Criteria!$C$5+F7*Criteria!$C$6+G7*Criteria!$C$7)</f>
        <v/>
      </c>
    </row>
    <row r="8" ht="15" customHeight="1" s="19">
      <c r="A8" s="34" t="inlineStr">
        <is>
          <t>SeQUeNCe</t>
        </is>
      </c>
      <c r="B8" s="35" t="n"/>
      <c r="C8" s="35" t="n"/>
      <c r="D8" s="35" t="n"/>
      <c r="E8" s="35" t="n"/>
      <c r="F8" s="35" t="n"/>
      <c r="G8" s="35" t="n"/>
      <c r="H8" s="36">
        <f>IF(COUNT(B8:G8)=0,"",B8*Criteria!$C$2+C8*Criteria!$C$3+D8*Criteria!$C$4+E8*Criteria!$C$5+F8*Criteria!$C$6+G8*Criteria!$C$7)</f>
        <v/>
      </c>
    </row>
    <row r="9" ht="15" customHeight="1" s="19">
      <c r="A9" s="34" t="inlineStr">
        <is>
          <t>QuNetSim</t>
        </is>
      </c>
      <c r="B9" s="35" t="n"/>
      <c r="C9" s="35" t="n"/>
      <c r="D9" s="35" t="n"/>
      <c r="E9" s="35" t="n"/>
      <c r="F9" s="35" t="n"/>
      <c r="G9" s="35" t="n"/>
      <c r="H9" s="36">
        <f>IF(COUNT(B9:G9)=0,"",B9*Criteria!$C$2+C9*Criteria!$C$3+D9*Criteria!$C$4+E9*Criteria!$C$5+F9*Criteria!$C$6+G9*Criteria!$C$7)</f>
        <v/>
      </c>
    </row>
    <row r="10" ht="15" customHeight="1" s="19">
      <c r="A10" s="34" t="inlineStr">
        <is>
          <t>SimulaQron</t>
        </is>
      </c>
      <c r="B10" s="35" t="n"/>
      <c r="C10" s="35" t="n"/>
      <c r="D10" s="35" t="n"/>
      <c r="E10" s="35" t="n"/>
      <c r="F10" s="35" t="n"/>
      <c r="G10" s="35" t="n"/>
      <c r="H10" s="36">
        <f>IF(COUNT(B10:G10)=0,"",B10*Criteria!$C$2+C10*Criteria!$C$3+D10*Criteria!$C$4+E10*Criteria!$C$5+F10*Criteria!$C$6+G10*Criteria!$C$7)</f>
        <v/>
      </c>
    </row>
    <row r="11" ht="15" customHeight="1" s="19">
      <c r="A11" s="34" t="inlineStr">
        <is>
          <t>QUICKS KMS–SDN Agent interface (AIT)</t>
        </is>
      </c>
      <c r="B11" s="35" t="n"/>
      <c r="C11" s="35" t="n"/>
      <c r="D11" s="35" t="n"/>
      <c r="E11" s="35" t="n"/>
      <c r="F11" s="35" t="n"/>
      <c r="G11" s="35" t="n"/>
      <c r="H11" s="36">
        <f>IF(COUNT(B11:G11)=0,"",B11*Criteria!$C$2+C11*Criteria!$C$3+D11*Criteria!$C$4+E11*Criteria!$C$5+F11*Criteria!$C$6+G11*Criteria!$C$7)</f>
        <v/>
      </c>
    </row>
    <row r="12" ht="15" customHeight="1" s="19">
      <c r="A12" s="34" t="inlineStr">
        <is>
          <t>ETSI 004 push-mode API spec (AIT)</t>
        </is>
      </c>
      <c r="B12" s="35" t="n"/>
      <c r="C12" s="35" t="n"/>
      <c r="D12" s="35" t="n"/>
      <c r="E12" s="35" t="n"/>
      <c r="F12" s="35" t="n"/>
      <c r="G12" s="35" t="n"/>
      <c r="H12" s="36">
        <f>IF(COUNT(B12:G12)=0,"",B12*Criteria!$C$2+C12*Criteria!$C$3+D12*Criteria!$C$4+E12*Criteria!$C$5+F12*Criteria!$C$6+G12*Criteria!$C$7)</f>
        <v/>
      </c>
    </row>
    <row r="13" ht="15" customHeight="1" s="19">
      <c r="A13" s="34" t="inlineStr">
        <is>
          <t>qkd-etsi-api-c-wrapper</t>
        </is>
      </c>
      <c r="B13" s="35" t="n"/>
      <c r="C13" s="35" t="n"/>
      <c r="D13" s="35" t="n"/>
      <c r="E13" s="35" t="n"/>
      <c r="F13" s="35" t="n"/>
      <c r="G13" s="35" t="n"/>
      <c r="H13" s="36">
        <f>IF(COUNT(B13:G13)=0,"",B13*Criteria!$C$2+C13*Criteria!$C$3+D13*Criteria!$C$4+E13*Criteria!$C$5+F13*Criteria!$C$6+G13*Criteria!$C$7)</f>
        <v/>
      </c>
    </row>
    <row r="14" ht="15" customHeight="1" s="19">
      <c r="A14" s="34" t="inlineStr">
        <is>
          <t>QuKayDee</t>
        </is>
      </c>
      <c r="B14" s="35" t="n"/>
      <c r="C14" s="35" t="n"/>
      <c r="D14" s="35" t="n"/>
      <c r="E14" s="35" t="n"/>
      <c r="F14" s="35" t="n"/>
      <c r="G14" s="35" t="n"/>
      <c r="H14" s="36">
        <f>IF(COUNT(B14:G14)=0,"",B14*Criteria!$C$2+C14*Criteria!$C$3+D14*Criteria!$C$4+E14*Criteria!$C$5+F14*Criteria!$C$6+G14*Criteria!$C$7)</f>
        <v/>
      </c>
    </row>
    <row r="15"/>
    <row r="16" ht="15" customHeight="1" s="19">
      <c r="A16" s="29" t="inlineStr">
        <is>
          <t>Fill in the yellow cells (1–5) after testing each tool; the total is computed from the weights in the sheet "Criteria".</t>
        </is>
      </c>
    </row>
    <row r="17" ht="15" customHeight="1" s="19">
      <c r="A17" s="29" t="inlineStr">
        <is>
          <t>The next-door-key-simulator row is an indicative score based on our test.</t>
        </is>
      </c>
    </row>
  </sheetData>
  <dataValidations count="1">
    <dataValidation sqref="B2:G14" showDropDown="0" showInputMessage="0" showErrorMessage="0" allowBlank="0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2026-09-21T17:43:07Z</dcterms:created>
  <dcterms:modified xsi:type="dcterms:W3CDTF">2026-10-14T10:16:21Z</dcterms:modified>
  <cp:revision>0</cp:revision>
</cp:coreProperties>
</file>